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arol\Desktop\projects\"/>
    </mc:Choice>
  </mc:AlternateContent>
  <xr:revisionPtr revIDLastSave="0" documentId="13_ncr:1_{7B15B0D2-4FA9-4297-9AE0-3E863228AA33}" xr6:coauthVersionLast="47" xr6:coauthVersionMax="47" xr10:uidLastSave="{00000000-0000-0000-0000-000000000000}"/>
  <bookViews>
    <workbookView xWindow="-120" yWindow="-120" windowWidth="29040" windowHeight="15720" activeTab="1" xr2:uid="{00000000-000D-0000-FFFF-FFFF00000000}"/>
  </bookViews>
  <sheets>
    <sheet name="amazon" sheetId="3" r:id="rId1"/>
    <sheet name="Sheet1" sheetId="4" r:id="rId2"/>
  </sheets>
  <definedNames>
    <definedName name="ExternalData_2" localSheetId="0" hidden="1">amazon!$A$1:$H$1350</definedName>
  </definedNames>
  <calcPr calcId="191029"/>
  <pivotCaches>
    <pivotCache cacheId="17"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4" l="1" a="1"/>
  <c r="B18" i="4" s="1"/>
  <c r="B19" i="4" a="1"/>
  <c r="B19" i="4" s="1"/>
  <c r="B20" i="4" a="1"/>
  <c r="B20" i="4" s="1"/>
  <c r="B21" i="4" a="1"/>
  <c r="B21" i="4" s="1"/>
  <c r="B22" i="4" a="1"/>
  <c r="B22" i="4" s="1"/>
  <c r="B23" i="4" a="1"/>
  <c r="B23" i="4" s="1"/>
  <c r="B24" i="4" a="1"/>
  <c r="B24" i="4" s="1"/>
  <c r="B25" i="4" a="1"/>
  <c r="B25" i="4" s="1"/>
  <c r="B17" i="4" a="1"/>
  <c r="B17" i="4" s="1"/>
  <c r="A17" i="4" a="1"/>
  <c r="A17"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11FA02-AB25-45D6-A4B9-4722C5A196DA}"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<sst xmlns="http://schemas.openxmlformats.org/spreadsheetml/2006/main" count="5469" uniqueCount="2917">
  <si>
    <t>product_id</t>
  </si>
  <si>
    <t>product_name</t>
  </si>
  <si>
    <t>category</t>
  </si>
  <si>
    <t>actual_price</t>
  </si>
  <si>
    <t>discount_percentage</t>
  </si>
  <si>
    <t>rating</t>
  </si>
  <si>
    <t>rating_count</t>
  </si>
  <si>
    <t>B07JW9H4J1</t>
  </si>
  <si>
    <t>Wayona Nylon Braided USB to Lightning Fast Charging and Data Sync Cable Compatible for iPhone 13, 12,11, X, 8, 7, 6, 5, iPad Air, Pro, Mini (3 FT Pack of 1, Grey)</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</si>
  <si>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</si>
  <si>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</si>
  <si>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</si>
  <si>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</si>
  <si>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</si>
  <si>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</si>
  <si>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</si>
  <si>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</si>
  <si>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</si>
  <si>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</si>
  <si>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</si>
  <si>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</si>
  <si>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</si>
  <si>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</si>
  <si>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</si>
  <si>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</si>
  <si>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</si>
  <si>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</si>
  <si>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</si>
  <si>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</si>
  <si>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</si>
  <si>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</si>
  <si>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</si>
  <si>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</si>
  <si>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</si>
  <si>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</si>
  <si>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</si>
  <si>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</si>
  <si>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</si>
  <si>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</si>
  <si>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</si>
  <si>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</si>
  <si>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</si>
  <si>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</si>
  <si>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</si>
  <si>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</si>
  <si>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</si>
  <si>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</si>
  <si>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</si>
  <si>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</si>
  <si>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</si>
  <si>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</si>
  <si>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</si>
  <si>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</si>
  <si>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</si>
  <si>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</si>
  <si>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</si>
  <si>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</si>
  <si>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</si>
  <si>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</si>
  <si>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</si>
  <si>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</si>
  <si>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</si>
  <si>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</si>
  <si>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</si>
  <si>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</si>
  <si>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</si>
  <si>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</si>
  <si>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</si>
  <si>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</si>
  <si>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</si>
  <si>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</si>
  <si>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</si>
  <si>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</si>
  <si>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</si>
  <si>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</si>
  <si>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</si>
  <si>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</si>
  <si>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</si>
  <si>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</si>
  <si>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</si>
  <si>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</si>
  <si>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</si>
  <si>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</si>
  <si>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</si>
  <si>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</si>
  <si>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</si>
  <si>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</si>
  <si>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</si>
  <si>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</si>
  <si>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</si>
  <si>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</si>
  <si>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</si>
  <si>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</si>
  <si>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</si>
  <si>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</si>
  <si>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</si>
  <si>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</si>
  <si>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</si>
  <si>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</si>
  <si>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</si>
  <si>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</si>
  <si>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</si>
  <si>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</si>
  <si>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</si>
  <si>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 Compatible for Samsung Smart 4K Ultra HD TV Monitor Remote Control Replacement of Original Samsung TV Remote for LED OLED UHD QLED and Suitable for 6 7 8 Series Samsung TV with Hot Keys BN59-01259E</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</si>
  <si>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</si>
  <si>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</si>
  <si>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</si>
  <si>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</si>
  <si>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</si>
  <si>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</si>
  <si>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</si>
  <si>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</si>
  <si>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</si>
  <si>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</si>
  <si>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</si>
  <si>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</si>
  <si>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</si>
  <si>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</si>
  <si>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</si>
  <si>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</si>
  <si>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</si>
  <si>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</si>
  <si>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</si>
  <si>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</si>
  <si>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</si>
  <si>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</si>
  <si>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</si>
  <si>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</si>
  <si>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</si>
  <si>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</si>
  <si>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</si>
  <si>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</si>
  <si>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</si>
  <si>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</si>
  <si>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</si>
  <si>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</si>
  <si>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</si>
  <si>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</si>
  <si>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</si>
  <si>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</si>
  <si>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</si>
  <si>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</si>
  <si>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</si>
  <si>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</si>
  <si>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</si>
  <si>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</si>
  <si>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</si>
  <si>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</si>
  <si>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</si>
  <si>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</si>
  <si>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</si>
  <si>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</si>
  <si>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</si>
  <si>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</si>
  <si>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</si>
  <si>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</si>
  <si>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</si>
  <si>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</si>
  <si>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</si>
  <si>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</si>
  <si>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</si>
  <si>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</si>
  <si>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</si>
  <si>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</si>
  <si>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</si>
  <si>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</si>
  <si>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</si>
  <si>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</si>
  <si>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</si>
  <si>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</si>
  <si>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</si>
  <si>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</si>
  <si>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</si>
  <si>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</si>
  <si>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</si>
  <si>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</si>
  <si>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</si>
  <si>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</si>
  <si>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</si>
  <si>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</si>
  <si>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</si>
  <si>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</si>
  <si>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</si>
  <si>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</si>
  <si>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</si>
  <si>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</si>
  <si>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</si>
  <si>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</si>
  <si>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</si>
  <si>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</si>
  <si>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</si>
  <si>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</si>
  <si>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</si>
  <si>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</si>
  <si>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</si>
  <si>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</si>
  <si>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</si>
  <si>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</si>
  <si>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</si>
  <si>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</si>
  <si>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</si>
  <si>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</si>
  <si>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</si>
  <si>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</si>
  <si>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</si>
  <si>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</si>
  <si>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</si>
  <si>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</si>
  <si>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</si>
  <si>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</si>
  <si>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</si>
  <si>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</si>
  <si>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</si>
  <si>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</si>
  <si>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</si>
  <si>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</si>
  <si>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</si>
  <si>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</si>
  <si>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</si>
  <si>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</si>
  <si>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</si>
  <si>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</si>
  <si>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</si>
  <si>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</si>
  <si>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</si>
  <si>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</si>
  <si>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</si>
  <si>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</si>
  <si>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</si>
  <si>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</si>
  <si>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</si>
  <si>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</si>
  <si>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</si>
  <si>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</si>
  <si>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</si>
  <si>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</si>
  <si>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</si>
  <si>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</si>
  <si>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</si>
  <si>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</si>
  <si>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</si>
  <si>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</si>
  <si>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</si>
  <si>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</si>
  <si>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</si>
  <si>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</si>
  <si>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</si>
  <si>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</si>
  <si>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</si>
  <si>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</si>
  <si>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</si>
  <si>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</si>
  <si>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</si>
  <si>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</si>
  <si>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</si>
  <si>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</si>
  <si>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</si>
  <si>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</si>
  <si>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</si>
  <si>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</si>
  <si>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</si>
  <si>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 32F53 (Black)</t>
  </si>
  <si>
    <t>B09MM6P76N</t>
  </si>
  <si>
    <t>7SEVEN® Compatible Lg Smart Tv Remote Suitable for Any LG LED OLED LCD UHD Plasma Android Television and AKB75095303 replacement of Original Lg Tv Remote Control</t>
  </si>
  <si>
    <t>B01D5H8LDM</t>
  </si>
  <si>
    <t>AmazonBasics 3.5mm to 2-Male RCA Adapter Cable For Tablet, Smartphone (Black, 15 feet)</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</si>
  <si>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</si>
  <si>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</si>
  <si>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</si>
  <si>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</si>
  <si>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</si>
  <si>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</si>
  <si>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</si>
  <si>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</si>
  <si>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</si>
  <si>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</si>
  <si>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</si>
  <si>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</si>
  <si>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</si>
  <si>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</si>
  <si>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</si>
  <si>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</si>
  <si>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</si>
  <si>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</si>
  <si>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</si>
  <si>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</si>
  <si>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</si>
  <si>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</si>
  <si>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</si>
  <si>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</si>
  <si>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</si>
  <si>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</si>
  <si>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</si>
  <si>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</si>
  <si>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</si>
  <si>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</si>
  <si>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</si>
  <si>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</si>
  <si>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</si>
  <si>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</si>
  <si>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</si>
  <si>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</si>
  <si>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</si>
  <si>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</si>
  <si>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</si>
  <si>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</si>
  <si>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</si>
  <si>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</si>
  <si>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</si>
  <si>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</si>
  <si>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</si>
  <si>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</si>
  <si>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</si>
  <si>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</si>
  <si>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</si>
  <si>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</si>
  <si>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</si>
  <si>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 Compatible for Tata Sky Remote Original Set Top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</si>
  <si>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</si>
  <si>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</si>
  <si>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</si>
  <si>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</si>
  <si>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B07VSG5SXZ</t>
  </si>
  <si>
    <t>ZEBRONICS HAA2021 HDMI version 2.1 cable with 8K @ 60Hz, 4K @ 120Hz, eARC &amp; CEC support, 3D compatible, 2 meters length, 48Gbps max and Gold-plated connectors</t>
  </si>
  <si>
    <t>B08RWCZ6SY</t>
  </si>
  <si>
    <t>7SEVEN®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</si>
  <si>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</si>
  <si>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</si>
  <si>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</si>
  <si>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</si>
  <si>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</si>
  <si>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</si>
  <si>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</si>
  <si>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</si>
  <si>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</si>
  <si>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</si>
  <si>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</si>
  <si>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</si>
  <si>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</si>
  <si>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</si>
  <si>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</si>
  <si>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</si>
  <si>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</si>
  <si>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</si>
  <si>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</si>
  <si>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</si>
  <si>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</si>
  <si>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</si>
  <si>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</si>
  <si>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</si>
  <si>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</si>
  <si>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</si>
  <si>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</si>
  <si>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</si>
  <si>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</si>
  <si>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</si>
  <si>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</si>
  <si>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</si>
  <si>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</si>
  <si>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</si>
  <si>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</si>
  <si>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</si>
  <si>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</si>
  <si>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</si>
  <si>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</si>
  <si>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</si>
  <si>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</si>
  <si>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</si>
  <si>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</si>
  <si>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</si>
  <si>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</si>
  <si>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</si>
  <si>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</si>
  <si>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</si>
  <si>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</si>
  <si>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</si>
  <si>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</si>
  <si>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</si>
  <si>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</si>
  <si>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</si>
  <si>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</si>
  <si>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</si>
  <si>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</si>
  <si>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</si>
  <si>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</si>
  <si>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</si>
  <si>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</si>
  <si>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</si>
  <si>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</si>
  <si>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</si>
  <si>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</si>
  <si>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</si>
  <si>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</si>
  <si>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</si>
  <si>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</si>
  <si>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</si>
  <si>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</si>
  <si>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</si>
  <si>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</si>
  <si>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</si>
  <si>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</si>
  <si>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</si>
  <si>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</si>
  <si>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</si>
  <si>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</si>
  <si>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</si>
  <si>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</si>
  <si>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</si>
  <si>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</si>
  <si>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</si>
  <si>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</si>
  <si>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</si>
  <si>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</si>
  <si>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</si>
  <si>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</si>
  <si>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</si>
  <si>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</si>
  <si>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</si>
  <si>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</si>
  <si>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</si>
  <si>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</si>
  <si>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</si>
  <si>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</si>
  <si>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</si>
  <si>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</si>
  <si>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</si>
  <si>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</si>
  <si>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</si>
  <si>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</si>
  <si>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</si>
  <si>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</si>
  <si>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</si>
  <si>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</si>
  <si>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</si>
  <si>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</si>
  <si>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</si>
  <si>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</si>
  <si>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</si>
  <si>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</si>
  <si>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</si>
  <si>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</si>
  <si>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</si>
  <si>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</si>
  <si>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</si>
  <si>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</si>
  <si>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</si>
  <si>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</si>
  <si>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</si>
  <si>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</si>
  <si>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</si>
  <si>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</si>
  <si>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</si>
  <si>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</si>
  <si>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</si>
  <si>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</si>
  <si>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</si>
  <si>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B09H39KTTB</t>
  </si>
  <si>
    <t>Remote Compatible for Samsung LED/LCD Remote Control Works with Samsung LED/LCD TV by Trend Trail</t>
  </si>
  <si>
    <t>B08DCVRW98</t>
  </si>
  <si>
    <t>SoniVision SA-D10 SA-D100 SA-D40 Home Theater Systems Remote Compatible with Sony RM-ANU156</t>
  </si>
  <si>
    <t>B0718ZN31Q</t>
  </si>
  <si>
    <t>Rts™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</si>
  <si>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</si>
  <si>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</si>
  <si>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</si>
  <si>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</si>
  <si>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</si>
  <si>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</si>
  <si>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</si>
  <si>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</si>
  <si>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</si>
  <si>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</si>
  <si>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</si>
  <si>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</si>
  <si>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</si>
  <si>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</si>
  <si>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</si>
  <si>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</si>
  <si>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</si>
  <si>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</si>
  <si>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</si>
  <si>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</si>
  <si>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</si>
  <si>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</si>
  <si>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</si>
  <si>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</si>
  <si>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</si>
  <si>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</si>
  <si>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</si>
  <si>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</si>
  <si>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</si>
  <si>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</si>
  <si>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B09L835C3V</t>
  </si>
  <si>
    <t>Smashtronics®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</si>
  <si>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</si>
  <si>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</si>
  <si>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</si>
  <si>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</si>
  <si>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</si>
  <si>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</si>
  <si>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</si>
  <si>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</si>
  <si>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</si>
  <si>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</si>
  <si>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</si>
  <si>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</si>
  <si>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</si>
  <si>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 Compatible for Mi tv Remote Control Original Suitable with Smart Android 4K LED Non Voice Command Xiaomi Redmi Remote of 4A Model 32 43 55 65 inches</t>
  </si>
  <si>
    <t>B09RQRZW2X</t>
  </si>
  <si>
    <t>7SEVEN®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</si>
  <si>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</si>
  <si>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</si>
  <si>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</si>
  <si>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</si>
  <si>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</si>
  <si>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</si>
  <si>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</si>
  <si>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</si>
  <si>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</si>
  <si>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</si>
  <si>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</si>
  <si>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</si>
  <si>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</si>
  <si>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</si>
  <si>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</si>
  <si>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</si>
  <si>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</si>
  <si>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</si>
  <si>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</si>
  <si>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</si>
  <si>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</si>
  <si>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</si>
  <si>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</si>
  <si>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</si>
  <si>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B09LQQYNZQ</t>
  </si>
  <si>
    <t>Realme Smart TV Stick 4K</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</si>
  <si>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</si>
  <si>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</si>
  <si>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</si>
  <si>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</si>
  <si>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</si>
  <si>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</si>
  <si>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</si>
  <si>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</si>
  <si>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B09LRZYBH1</t>
  </si>
  <si>
    <t>KRISONS Thunder Speaker, Multimedia Home Theatre, Floor Standing Speaker, LED Display with Bluetooth, FM, USB, Micro SD Card, AUX Connectivity</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</si>
  <si>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</si>
  <si>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</si>
  <si>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</si>
  <si>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</si>
  <si>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</si>
  <si>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</si>
  <si>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</si>
  <si>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</si>
  <si>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</si>
  <si>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</si>
  <si>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</si>
  <si>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</si>
  <si>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</si>
  <si>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</si>
  <si>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</si>
  <si>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  –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</si>
  <si>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</si>
  <si>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</si>
  <si>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</si>
  <si>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</si>
  <si>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</si>
  <si>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</si>
  <si>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</si>
  <si>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  Aramid fiber braided 1.2m cable with 4A Fast charging &amp; 480 MBPS data transmission, certified 10000+ bend lifespan, Metallic Grey</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</si>
  <si>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</si>
  <si>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</si>
  <si>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</si>
  <si>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</si>
  <si>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</si>
  <si>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</si>
  <si>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</si>
  <si>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</si>
  <si>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</si>
  <si>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</si>
  <si>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</si>
  <si>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</si>
  <si>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</si>
  <si>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</si>
  <si>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</si>
  <si>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</si>
  <si>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</si>
  <si>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</si>
  <si>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</si>
  <si>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</si>
  <si>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( 8K@60HZ、4K@120HZ、2K@240HZ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</si>
  <si>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</si>
  <si>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</si>
  <si>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</si>
  <si>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</si>
  <si>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</si>
  <si>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</si>
  <si>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 Suitable Sony Tv Remote Original Bravia for Smart Android Television Compatible for Any Model of LCD LED OLED UHD 4K Universal Sony Remote Control</t>
  </si>
  <si>
    <t>B09HN7LD5L</t>
  </si>
  <si>
    <t>PROLEGEND®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</si>
  <si>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</si>
  <si>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</si>
  <si>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</si>
  <si>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</si>
  <si>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</si>
  <si>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</si>
  <si>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</si>
  <si>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</si>
  <si>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</si>
  <si>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</si>
  <si>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</si>
  <si>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</si>
  <si>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</si>
  <si>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</si>
  <si>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</si>
  <si>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</si>
  <si>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</si>
  <si>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</si>
  <si>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</si>
  <si>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</si>
  <si>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</si>
  <si>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</si>
  <si>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</si>
  <si>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</si>
  <si>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</si>
  <si>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 8K Hdmi 2.1 Cable 48Gbps 9.80Ft/Ultra High Speed Hdmi Braided Cord For Roku Tv/Ps5/Hdtv/Blu-Ray Projector, Laptop, Television, Personal Computer, Xbox, Ps4, Ps5, Ps4 Pro (1 M, Grey)</t>
  </si>
  <si>
    <t>B097JVLW3L</t>
  </si>
  <si>
    <t>Irusu Play VR Plus Virtual Reality Headset with Headphones for Gaming (Black)</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</si>
  <si>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</si>
  <si>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</si>
  <si>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</si>
  <si>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</si>
  <si>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</si>
  <si>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</si>
  <si>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</si>
  <si>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</si>
  <si>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</si>
  <si>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 Protective Case Compatible with JIO Settop Box Remote Control,PU Leather Cover Holder (Before Placing Order,Please Compare The Dimensions of The Product with Your Remote)</t>
  </si>
  <si>
    <t>B09P8M18QM</t>
  </si>
  <si>
    <t>7SEVEN®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</si>
  <si>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</si>
  <si>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</si>
  <si>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</si>
  <si>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</si>
  <si>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</si>
  <si>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</si>
  <si>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</si>
  <si>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</si>
  <si>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</si>
  <si>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</si>
  <si>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</si>
  <si>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</si>
  <si>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</si>
  <si>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</si>
  <si>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</si>
  <si>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</si>
  <si>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</si>
  <si>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</si>
  <si>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</si>
  <si>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</si>
  <si>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</si>
  <si>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</si>
  <si>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</si>
  <si>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</si>
  <si>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</si>
  <si>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</si>
  <si>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</si>
  <si>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</si>
  <si>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</si>
  <si>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</si>
  <si>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</si>
  <si>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</si>
  <si>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</si>
  <si>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 HD Display with 550 NITS &amp; 70% Color Gamut, 150+ Watch Faces, Multi-Sport Modes,HR,SpO2, IP68(Active Black)</t>
  </si>
  <si>
    <t>B08HV83HL3</t>
  </si>
  <si>
    <t>MI Power Bank 3i 20000mAh Lithium Polymer 18W Fast Power Delivery Charging | Input- Type C | Micro USB| Triple Output | Sandstone Black</t>
  </si>
  <si>
    <t>B0BBN4DZBD</t>
  </si>
  <si>
    <t>Redmi A1 (Light Blue, 2GB RAM, 32GB Storage) | Segment Best AI Dual Cam | 5000mAh Battery | Leather Texture Design | Android 12</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</si>
  <si>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</si>
  <si>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</si>
  <si>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</si>
  <si>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</si>
  <si>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</si>
  <si>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</si>
  <si>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</si>
  <si>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</si>
  <si>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</si>
  <si>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</si>
  <si>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</si>
  <si>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</si>
  <si>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</si>
  <si>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</si>
  <si>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</si>
  <si>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</si>
  <si>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</si>
  <si>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</si>
  <si>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</si>
  <si>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</si>
  <si>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</si>
  <si>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</si>
  <si>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</si>
  <si>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</si>
  <si>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</si>
  <si>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</si>
  <si>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B07GPXXNNG</t>
  </si>
  <si>
    <t>boAt Bassheads 100 in Ear Wired Earphones with Mic(Taffy Pink)</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</si>
  <si>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</si>
  <si>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</si>
  <si>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</si>
  <si>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</si>
  <si>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</si>
  <si>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</si>
  <si>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</si>
  <si>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</si>
  <si>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</si>
  <si>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</si>
  <si>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B08VFF6JQ8</t>
  </si>
  <si>
    <t>Samsung 25W USB Travel Adapter for Cellular Phones - White</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</si>
  <si>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</si>
  <si>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</si>
  <si>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</si>
  <si>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</si>
  <si>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</si>
  <si>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</si>
  <si>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</si>
  <si>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</si>
  <si>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</si>
  <si>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</si>
  <si>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</si>
  <si>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</si>
  <si>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</si>
  <si>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</si>
  <si>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</si>
  <si>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</si>
  <si>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</si>
  <si>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</si>
  <si>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</si>
  <si>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</si>
  <si>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</si>
  <si>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</si>
  <si>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</si>
  <si>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</si>
  <si>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</si>
  <si>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</si>
  <si>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</si>
  <si>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</si>
  <si>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</si>
  <si>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</si>
  <si>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</si>
  <si>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</si>
  <si>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</si>
  <si>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</si>
  <si>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</si>
  <si>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</si>
  <si>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</si>
  <si>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</si>
  <si>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</si>
  <si>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</si>
  <si>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</si>
  <si>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</si>
  <si>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</si>
  <si>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</si>
  <si>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</si>
  <si>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</si>
  <si>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</si>
  <si>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</si>
  <si>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</si>
  <si>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</si>
  <si>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</si>
  <si>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</si>
  <si>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</si>
  <si>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</si>
  <si>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</si>
  <si>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</si>
  <si>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</si>
  <si>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B09MQSCJQ1</t>
  </si>
  <si>
    <t>boAt Xtend Smartwatch with Alexa Built-in, 1.69”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</si>
  <si>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</si>
  <si>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</si>
  <si>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</si>
  <si>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</si>
  <si>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</si>
  <si>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</si>
  <si>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</si>
  <si>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</si>
  <si>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</si>
  <si>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</si>
  <si>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</si>
  <si>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</si>
  <si>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</si>
  <si>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</si>
  <si>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</si>
  <si>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</si>
  <si>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</si>
  <si>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</si>
  <si>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</si>
  <si>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</si>
  <si>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</si>
  <si>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</si>
  <si>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</si>
  <si>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</si>
  <si>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</si>
  <si>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</si>
  <si>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</si>
  <si>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</si>
  <si>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</si>
  <si>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</si>
  <si>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</si>
  <si>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</si>
  <si>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</si>
  <si>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</si>
  <si>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</si>
  <si>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</si>
  <si>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</si>
  <si>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</si>
  <si>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</si>
  <si>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</si>
  <si>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</si>
  <si>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</si>
  <si>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</si>
  <si>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</si>
  <si>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</si>
  <si>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</si>
  <si>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</si>
  <si>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</si>
  <si>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</si>
  <si>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</si>
  <si>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</si>
  <si>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</si>
  <si>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B09QS8V5N8</t>
  </si>
  <si>
    <t>Redmi Note 11 (Space Black, 4GB RAM, 64GB Storage)|90Hz FHD+ AMOLED Display | Qualcomm® Snapdragon™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</si>
  <si>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</si>
  <si>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</si>
  <si>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</si>
  <si>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</si>
  <si>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</si>
  <si>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</si>
  <si>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</si>
  <si>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 Rotational, Strong Suction Cup,Compatible with 4 to 6 Inch Devices, Wildshield and Dashboard Mobile Holder for Car, and Use</t>
  </si>
  <si>
    <t>B07DJLFMPS</t>
  </si>
  <si>
    <t>HP 32GB Class 10 MicroSD Memory Card (U1 TF Card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</si>
  <si>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</si>
  <si>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</si>
  <si>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</si>
  <si>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</si>
  <si>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</si>
  <si>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</si>
  <si>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</si>
  <si>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</si>
  <si>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</si>
  <si>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</si>
  <si>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</si>
  <si>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</si>
  <si>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</si>
  <si>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</si>
  <si>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</si>
  <si>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</si>
  <si>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</si>
  <si>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</si>
  <si>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</si>
  <si>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</si>
  <si>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</si>
  <si>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</si>
  <si>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</si>
  <si>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</si>
  <si>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</si>
  <si>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</si>
  <si>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</si>
  <si>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</si>
  <si>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</si>
  <si>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</si>
  <si>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</si>
  <si>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</si>
  <si>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</si>
  <si>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</si>
  <si>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</si>
  <si>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</si>
  <si>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</si>
  <si>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</si>
  <si>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</si>
  <si>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</si>
  <si>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</si>
  <si>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</si>
  <si>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</si>
  <si>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</si>
  <si>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</si>
  <si>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</si>
  <si>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</si>
  <si>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</si>
  <si>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</si>
  <si>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</si>
  <si>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</si>
  <si>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</si>
  <si>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</si>
  <si>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</si>
  <si>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</si>
  <si>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</si>
  <si>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</si>
  <si>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</si>
  <si>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</si>
  <si>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</si>
  <si>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</si>
  <si>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</si>
  <si>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</si>
  <si>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</si>
  <si>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</si>
  <si>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</si>
  <si>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</si>
  <si>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</si>
  <si>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</si>
  <si>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</si>
  <si>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</si>
  <si>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</si>
  <si>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</si>
  <si>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</si>
  <si>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</si>
  <si>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</si>
  <si>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</si>
  <si>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</si>
  <si>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</si>
  <si>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</si>
  <si>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</si>
  <si>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</si>
  <si>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</si>
  <si>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</si>
  <si>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</si>
  <si>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</si>
  <si>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</si>
  <si>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</si>
  <si>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</si>
  <si>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</si>
  <si>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</si>
  <si>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</si>
  <si>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</si>
  <si>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</si>
  <si>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</si>
  <si>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</si>
  <si>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</si>
  <si>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</si>
  <si>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</si>
  <si>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</si>
  <si>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</si>
  <si>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</si>
  <si>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</si>
  <si>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</si>
  <si>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</si>
  <si>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</si>
  <si>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</si>
  <si>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</si>
  <si>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</si>
  <si>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</si>
  <si>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</si>
  <si>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</si>
  <si>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</si>
  <si>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</si>
  <si>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</si>
  <si>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</si>
  <si>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</si>
  <si>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 Snapdragon™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</si>
  <si>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</si>
  <si>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</si>
  <si>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</si>
  <si>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</si>
  <si>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</si>
  <si>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</si>
  <si>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</si>
  <si>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150MB/s R, 10 Y Warranty, for Smartphones</t>
  </si>
  <si>
    <t>B0B3RS9DNF</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</si>
  <si>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</si>
  <si>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</si>
  <si>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</si>
  <si>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</si>
  <si>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</si>
  <si>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</si>
  <si>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</si>
  <si>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</si>
  <si>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</si>
  <si>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</si>
  <si>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</si>
  <si>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</si>
  <si>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</si>
  <si>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</si>
  <si>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</si>
  <si>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</si>
  <si>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</si>
  <si>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</si>
  <si>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</si>
  <si>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</si>
  <si>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</si>
  <si>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</si>
  <si>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</si>
  <si>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</si>
  <si>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</si>
  <si>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</si>
  <si>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</si>
  <si>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</si>
  <si>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</si>
  <si>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</si>
  <si>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</si>
  <si>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Bicycle Phone Mount</t>
  </si>
  <si>
    <t>B096TWZRJC</t>
  </si>
  <si>
    <t>Sounce 360 Adjustable Mobile Phone Holder, Universal Phone Holder Clip Lazy Bracket Flexible Gooseneck Clamp Long Arms Mount for Mobile Tabletop Stand for Bedroom, Office, Bathroom, White</t>
  </si>
  <si>
    <t>B09GP6FBZT</t>
  </si>
  <si>
    <t>OpenTech®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</si>
  <si>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</si>
  <si>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</si>
  <si>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</si>
  <si>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</si>
  <si>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</si>
  <si>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</si>
  <si>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</si>
  <si>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</si>
  <si>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</si>
  <si>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</si>
  <si>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</si>
  <si>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</si>
  <si>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</si>
  <si>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</si>
  <si>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</si>
  <si>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</si>
  <si>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</si>
  <si>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</si>
  <si>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</si>
  <si>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</si>
  <si>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</si>
  <si>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</si>
  <si>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</si>
  <si>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</si>
  <si>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</si>
  <si>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</si>
  <si>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</si>
  <si>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</si>
  <si>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</si>
  <si>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</si>
  <si>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</si>
  <si>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</si>
  <si>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</si>
  <si>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</si>
  <si>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</si>
  <si>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</si>
  <si>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</si>
  <si>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</si>
  <si>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</si>
  <si>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</si>
  <si>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</si>
  <si>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</si>
  <si>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</si>
  <si>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</si>
  <si>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</si>
  <si>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 (Black,20cm)</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</si>
  <si>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</si>
  <si>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</si>
  <si>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</si>
  <si>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</si>
  <si>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</si>
  <si>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</si>
  <si>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</si>
  <si>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</si>
  <si>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</si>
  <si>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</si>
  <si>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</si>
  <si>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</si>
  <si>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</si>
  <si>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</si>
  <si>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</si>
  <si>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</si>
  <si>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</si>
  <si>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</si>
  <si>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</si>
  <si>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</si>
  <si>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</si>
  <si>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</si>
  <si>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</si>
  <si>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</si>
  <si>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</si>
  <si>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</si>
  <si>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</si>
  <si>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</si>
  <si>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</si>
  <si>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</si>
  <si>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</si>
  <si>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</si>
  <si>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</si>
  <si>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</si>
  <si>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</si>
  <si>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</si>
  <si>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</si>
  <si>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</si>
  <si>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</si>
  <si>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</si>
  <si>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</si>
  <si>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</si>
  <si>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</si>
  <si>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</si>
  <si>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</si>
  <si>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</si>
  <si>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</si>
  <si>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</si>
  <si>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</si>
  <si>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</si>
  <si>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</si>
  <si>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</si>
  <si>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</si>
  <si>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</si>
  <si>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</si>
  <si>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</si>
  <si>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</si>
  <si>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</si>
  <si>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B01J0XWYKQ</t>
  </si>
  <si>
    <t>Logitech B170 Wireless Mouse, 2.4 GHz with USB Nano Receiver, Optical Tracking, 12-Months Battery Life, Ambidextrous, PC/Mac/Laptop - Black</t>
  </si>
  <si>
    <t>B09CTRPSJR</t>
  </si>
  <si>
    <t>Storio Kids Toys LCD Writing Tablet 8.5Inch E-Note Pad Best Birthday Gift for Girls Boys, Multicolor (SC1667)</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</si>
  <si>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</si>
  <si>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</si>
  <si>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</si>
  <si>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</si>
  <si>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</si>
  <si>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</si>
  <si>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</si>
  <si>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</si>
  <si>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</si>
  <si>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</si>
  <si>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</si>
  <si>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</si>
  <si>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</si>
  <si>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</si>
  <si>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</si>
  <si>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</si>
  <si>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</si>
  <si>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</si>
  <si>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</si>
  <si>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</si>
  <si>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</si>
  <si>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</si>
  <si>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</si>
  <si>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</si>
  <si>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</si>
  <si>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 Black</t>
  </si>
  <si>
    <t>B01HJI0FS2</t>
  </si>
  <si>
    <t>Dell MS116 1000Dpi USB Wired Optical Mouse, Led Tracking, Scrolling Wheel, Plug and Play.</t>
  </si>
  <si>
    <t>B076B8G5D8</t>
  </si>
  <si>
    <t>Boya ByM1 Auxiliary Omnidirectional Lavalier Condenser Microphone with 20ft Audio Cable (Black)</t>
  </si>
  <si>
    <t>B014SZO90Y</t>
  </si>
  <si>
    <t>Duracell Ultra Alkaline AA Battery, 8 Pcs</t>
  </si>
  <si>
    <t>B07KCMR8D6</t>
  </si>
  <si>
    <t>Classmate Octane Neon- Blue Gel Pens(Pack of 5)|Smooth Writing Pen|Attractive body colour for Boys &amp; Girls|Waterproof ink for smudge free writing|Preferred by Students for Exam|Study at home essential</t>
  </si>
  <si>
    <t>B00N1U9AJS</t>
  </si>
  <si>
    <t>3M Scotch Double Sided Heavy Duty Tape(1m holds 4.5Kgs) for indoor hanging applications (Photo frames, Mirrors, Key Holders, Car Interiors, Extension Boards, Wall decoration, etc)(L: 3m, W: 24mm)</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</si>
  <si>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</si>
  <si>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</si>
  <si>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</si>
  <si>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</si>
  <si>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</si>
  <si>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</si>
  <si>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B08ZJDWTJ1</t>
  </si>
  <si>
    <t>Seagate Expansion 1TB External HDD - USB 3.0 for Windows and Mac with 3 yr Data Recovery Services, Portable Hard Drive (STKM1000400)</t>
  </si>
  <si>
    <t>B08FTFXNNB</t>
  </si>
  <si>
    <t>HP w100 480P 30 FPS Digital Webcam with Built-in Mic, Plug and Play Setup, Wide-Angle View for Video Calling on Skype, Zoom, Microsoft Teams and Other Apps (Black)</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</si>
  <si>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</si>
  <si>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</si>
  <si>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</si>
  <si>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</si>
  <si>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</si>
  <si>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</si>
  <si>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</si>
  <si>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</si>
  <si>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</si>
  <si>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</si>
  <si>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</si>
  <si>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</si>
  <si>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</si>
  <si>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</si>
  <si>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B00KXULGJQ</t>
  </si>
  <si>
    <t>TP-Link AC750 Wifi Range Extender | Up to 750Mbps | Dual Band WiFi Extender, Repeater, Wifi Signal Booster, Access Point| Easy Set-Up | Extends Wifi to Smart Home &amp; Alexa Devices (RE200)</t>
  </si>
  <si>
    <t>B08H9Z3XQW</t>
  </si>
  <si>
    <t>boAt Bassheads 242 in Ear Wired Earphones with Mic(Blue)</t>
  </si>
  <si>
    <t>B08LPJZSSW</t>
  </si>
  <si>
    <t>DIGITEK® (DTR 260 GT) Gorilla Tripod/Mini 33 cm (13 Inch) Tripod for Mobile Phone with Phone Mount &amp; Remote, Flexible Gorilla Stand for DSLR &amp; Action Cameras</t>
  </si>
  <si>
    <t>B08CYPB15D</t>
  </si>
  <si>
    <t>HP 805 Black Original Ink Cartridge</t>
  </si>
  <si>
    <t>B00MFPCY5C</t>
  </si>
  <si>
    <t>GIZGA essentials Universal Silicone Keyboard Protector Skin for 15.6-inches Laptop (5 x 6 x 3 inches)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</si>
  <si>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</si>
  <si>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</si>
  <si>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</si>
  <si>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</si>
  <si>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</si>
  <si>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</si>
  <si>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</si>
  <si>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</si>
  <si>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</si>
  <si>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</si>
  <si>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</si>
  <si>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</si>
  <si>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B00LXTFMRS</t>
  </si>
  <si>
    <t>PIDILITE Fevicryl Acrylic Colours Sunflower Kit (10 Colors x 15 ml) DIY Paint, Rich Pigment, Non-Craking Paint for Canvas, Wood, Leather, Earthenware, Metal, Diwali Gifts for Diwali</t>
  </si>
  <si>
    <t>B0B9LDCX89</t>
  </si>
  <si>
    <t>STRIFF Mpad Mouse Mat 230X190X3mm Gaming Mouse Pad, Non-Slip Rubber Base, Waterproof Surface, Premium-Textured, Compatible with Laser and Optical Mice(Universe Black)</t>
  </si>
  <si>
    <t>B0765B3TH7</t>
  </si>
  <si>
    <t>Gizga Essentials Hard Drive Case Shell, 6.35cm/2.5-inch, Portable Storage Organizer Bag for Earphone USB Cable Power Bank Mobile Charger Digital Gadget Hard Disk, Water Resistance Material, Black</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</si>
  <si>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</si>
  <si>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</si>
  <si>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</si>
  <si>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</si>
  <si>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</si>
  <si>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</si>
  <si>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</si>
  <si>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</si>
  <si>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</si>
  <si>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</si>
  <si>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</si>
  <si>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</si>
  <si>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B07GVR9TG7</t>
  </si>
  <si>
    <t>TP-Link Archer AC1200 Archer C6 Wi-Fi Speed Up to 867 Mbps/5 GHz + 400 Mbps/2.4 GHz, 5 Gigabit Ports, 4 External Antennas, MU-MIMO, Dual Band, WiFi Coverage with Access Point Mode, Black</t>
  </si>
  <si>
    <t>B0856HY85J</t>
  </si>
  <si>
    <t>boAt Rockerz 550 Over Ear Bluetooth Headphones with Upto 20 Hours Playback, 50MM Drivers, Soft Padded Ear Cushions and Physical Noise Isolation, Without Mic (Black)</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</si>
  <si>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</si>
  <si>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</si>
  <si>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</si>
  <si>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</si>
  <si>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</si>
  <si>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</si>
  <si>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</si>
  <si>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</si>
  <si>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</si>
  <si>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</si>
  <si>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</si>
  <si>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</si>
  <si>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B00LVMTA2A</t>
  </si>
  <si>
    <t>Panasonic CR-2032/5BE Lithium Coin Battery - Pack of 5</t>
  </si>
  <si>
    <t>B07TR5HSR9</t>
  </si>
  <si>
    <t>MemeHo®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</si>
  <si>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</si>
  <si>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</si>
  <si>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</si>
  <si>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9.4”x 7.9”,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</si>
  <si>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</si>
  <si>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</si>
  <si>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</si>
  <si>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</si>
  <si>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</si>
  <si>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</si>
  <si>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</si>
  <si>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</si>
  <si>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</si>
  <si>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</si>
  <si>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</si>
  <si>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</si>
  <si>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</si>
  <si>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</si>
  <si>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</si>
  <si>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</si>
  <si>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</si>
  <si>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</si>
  <si>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</si>
  <si>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</si>
  <si>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</si>
  <si>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</si>
  <si>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</si>
  <si>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</si>
  <si>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</si>
  <si>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</si>
  <si>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</si>
  <si>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</si>
  <si>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</si>
  <si>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</si>
  <si>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</si>
  <si>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</si>
  <si>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</si>
  <si>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</si>
  <si>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B00R1P3B4O</t>
  </si>
  <si>
    <t>Fujifilm Instax Mini Single Pack 10 Sheets Instant Film for Fuji Instant Cameras</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</si>
  <si>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</si>
  <si>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</si>
  <si>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</si>
  <si>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</si>
  <si>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</si>
  <si>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</si>
  <si>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</si>
  <si>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</si>
  <si>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</si>
  <si>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</si>
  <si>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B08TDJNM3G</t>
  </si>
  <si>
    <t>E-COSMOS 5V 1.2W Portable Flexible USB LED Light (Colors May Vary, Small) - Set of 2 Pieces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</si>
  <si>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</si>
  <si>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</si>
  <si>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</si>
  <si>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</si>
  <si>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</si>
  <si>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</si>
  <si>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</si>
  <si>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</si>
  <si>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</si>
  <si>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</si>
  <si>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B01N6LU1VF</t>
  </si>
  <si>
    <t>SanDisk Ultra Dual 64 GB USB 3.0 OTG Pen Drive (Black)</t>
  </si>
  <si>
    <t>B07XLML2YS</t>
  </si>
  <si>
    <t>TP-Link Tapo 360° 2MP 1080p Full HD Pan/Tilt Home Security Wi-Fi Smart Camera| Alexa Enabled| 2-Way Audio| Night Vision| Motion Detection| Sound and Light Alarm| Indoor CCTV (Tapo C200) White</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</si>
  <si>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</si>
  <si>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</si>
  <si>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</si>
  <si>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</si>
  <si>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</si>
  <si>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</si>
  <si>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</si>
  <si>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</si>
  <si>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</si>
  <si>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</si>
  <si>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</si>
  <si>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</si>
  <si>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</si>
  <si>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</si>
  <si>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</si>
  <si>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</si>
  <si>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</si>
  <si>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</si>
  <si>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B0756CLQWL</t>
  </si>
  <si>
    <t>Redgear Pro Wireless Gamepad with 2.4GHz Wireless Technology, Integrated Dual Intensity Motor, Illuminated Keys for PC(Compatible with Windows 7/8/8.1/10 only)</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</si>
  <si>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</si>
  <si>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</si>
  <si>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</si>
  <si>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</si>
  <si>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</si>
  <si>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</si>
  <si>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</si>
  <si>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</si>
  <si>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</si>
  <si>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</si>
  <si>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</si>
  <si>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</si>
  <si>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</si>
  <si>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</si>
  <si>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</si>
  <si>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</si>
  <si>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</si>
  <si>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</si>
  <si>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</si>
  <si>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</si>
  <si>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</si>
  <si>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</si>
  <si>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</si>
  <si>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</si>
  <si>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</si>
  <si>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</si>
  <si>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B0972BQ2RS</t>
  </si>
  <si>
    <t>Fire-Boltt India's No 1 Smartwatch Brand Ring Bluetooth Calling with SpO2 &amp; 1.7”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</si>
  <si>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</si>
  <si>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</si>
  <si>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</si>
  <si>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</si>
  <si>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</si>
  <si>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</si>
  <si>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</si>
  <si>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</si>
  <si>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B07Z1X6VFC</t>
  </si>
  <si>
    <t>AirCase Protective Laptop Bag Sleeve fits Upto 13.3" Laptop/ MacBook, Wrinkle Free, Padded, Waterproof Light Neoprene case Cover Pouch, for Men &amp; Women, Black- 6 Months Warranty</t>
  </si>
  <si>
    <t>B07YL54NVJ</t>
  </si>
  <si>
    <t>Brand Conquer 6 in 1 with OTG, SD Card Reader, USB Type C, USB 3.0 and Micro USB, for Memory Card | Portable Card Reader | Compatible with TF, SD, Micro SD, SDHC, SDXC, MMC, RS-MMC, Micro SDXC</t>
  </si>
  <si>
    <t>B0759QMF85</t>
  </si>
  <si>
    <t>TP-Link AC750 Dual Band Wireless Cable Router, 4 10/100 LAN + 10/100 WAN Ports, Support Guest Network and Parental Control, 750Mbps Speed Wi-Fi, 3 Antennas (Archer C20) Blue, 2.4 GHz</t>
  </si>
  <si>
    <t>B00LM4X0KU</t>
  </si>
  <si>
    <t>Parker Quink Ink Bottle, Blue</t>
  </si>
  <si>
    <t>B08PFSZ7FH</t>
  </si>
  <si>
    <t>STRIFF Laptop Stand Adjustable Laptop Computer Stand Multi-Angle Stand Phone Stand Portable Foldable Laptop Riser Notebook Holder Stand Compatible for 9 to 15.6”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</si>
  <si>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</si>
  <si>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</si>
  <si>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</si>
  <si>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</si>
  <si>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</si>
  <si>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</si>
  <si>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</si>
  <si>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</si>
  <si>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</si>
  <si>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</si>
  <si>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</si>
  <si>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</si>
  <si>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</si>
  <si>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</si>
  <si>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</si>
  <si>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</si>
  <si>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</si>
  <si>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</si>
  <si>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</si>
  <si>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</si>
  <si>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</si>
  <si>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</si>
  <si>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</si>
  <si>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</si>
  <si>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</si>
  <si>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</si>
  <si>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</si>
  <si>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</si>
  <si>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</si>
  <si>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</si>
  <si>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B016XVRKZM</t>
  </si>
  <si>
    <t>APC Back-UPS BX600C-IN 600VA / 360W, 230V, UPS System, an Ideal Power Backup &amp; Protection for Home Office, Desktop PC &amp; Home Electronics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</si>
  <si>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</si>
  <si>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</si>
  <si>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</si>
  <si>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</si>
  <si>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</si>
  <si>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 Type C Fast Charging (10 Min=100Mins), BoomX™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</si>
  <si>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</si>
  <si>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</si>
  <si>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</si>
  <si>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</si>
  <si>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</si>
  <si>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</si>
  <si>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</si>
  <si>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</si>
  <si>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</si>
  <si>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</si>
  <si>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</si>
  <si>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</si>
  <si>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B08GYG6T12</t>
  </si>
  <si>
    <t>SanDisk Ultra SDHC UHS-I Card 32GB 120MB/s R for DSLR Cameras, for Full HD Recording, 10Y Warranty</t>
  </si>
  <si>
    <t>B09BN2NPBD</t>
  </si>
  <si>
    <t>DIGITEK® (DRL-14C) Professional (31cm) Dual Temperature LED Ring Light with Tripod Stand &amp; Mini Tripod for YouTube, Photo-Shoot, Video Shoot, Live Stream, Makeup, Vlogging &amp; More</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</si>
  <si>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</si>
  <si>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</si>
  <si>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</si>
  <si>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</si>
  <si>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</si>
  <si>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</si>
  <si>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</si>
  <si>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</si>
  <si>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</si>
  <si>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</si>
  <si>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</si>
  <si>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</si>
  <si>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</si>
  <si>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</si>
  <si>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</si>
  <si>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</si>
  <si>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</si>
  <si>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</si>
  <si>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</si>
  <si>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</si>
  <si>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</si>
  <si>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</si>
  <si>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</si>
  <si>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</si>
  <si>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B017PDR9N0</t>
  </si>
  <si>
    <t>GIZGA Essentials Portable Tabletop Tablet Stand Mobile Holder, Desktop Stand, Cradle, Dock for iPad, Smartphone, Kindle, E-Reader, Fully Foldable, Adjustable Angle, Anti-Slip Pads, Black</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</si>
  <si>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</si>
  <si>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</si>
  <si>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</si>
  <si>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</si>
  <si>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</si>
  <si>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</si>
  <si>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</si>
  <si>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</si>
  <si>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</si>
  <si>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</si>
  <si>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</si>
  <si>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</si>
  <si>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</si>
  <si>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</si>
  <si>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</si>
  <si>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</si>
  <si>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</si>
  <si>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</si>
  <si>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</si>
  <si>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</si>
  <si>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</si>
  <si>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</si>
  <si>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</si>
  <si>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 Black, for Windows and Mac, with 3 yr Data Recovery Services, and 4 Months Adobe CC Photography (STKY2000400)</t>
  </si>
  <si>
    <t>B07L3NDN24</t>
  </si>
  <si>
    <t>ZEBRONICS Zeb-Fame 5watts 2.0 Multi Media Speakers with AUX, USB and Volume Control (Black)</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</si>
  <si>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</si>
  <si>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</si>
  <si>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</si>
  <si>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</si>
  <si>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</si>
  <si>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</si>
  <si>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</si>
  <si>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</si>
  <si>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</si>
  <si>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</si>
  <si>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</si>
  <si>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</si>
  <si>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</si>
  <si>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</si>
  <si>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</si>
  <si>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</si>
  <si>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</si>
  <si>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</si>
  <si>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</si>
  <si>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</si>
  <si>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B01IOZUHRS</t>
  </si>
  <si>
    <t>Gizga Essentials Laptop Power Cable Cord- 3 Pin Adapter Isi Certified(1 Meter/3.3 Feet)</t>
  </si>
  <si>
    <t>B00CEQEGPI</t>
  </si>
  <si>
    <t>Logitech MK270r USB Wireless Keyboard and Mouse Set for Windows, 2.4 GHz Wireless, Spill-resistant Design, 8 Multimedia &amp; Shortcut Keys, 2-Year Battery Life, PC/Laptop- Black</t>
  </si>
  <si>
    <t>B08B6XWQ1C</t>
  </si>
  <si>
    <t>DIGITEK®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</si>
  <si>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</si>
  <si>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</si>
  <si>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</si>
  <si>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</si>
  <si>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</si>
  <si>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</si>
  <si>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</si>
  <si>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</si>
  <si>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</si>
  <si>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</si>
  <si>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</si>
  <si>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</si>
  <si>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</si>
  <si>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</si>
  <si>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</si>
  <si>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</si>
  <si>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</si>
  <si>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</si>
  <si>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</si>
  <si>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</si>
  <si>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</si>
  <si>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</si>
  <si>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</si>
  <si>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</si>
  <si>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B07Z53L5QL</t>
  </si>
  <si>
    <t>ProElite Faux Leather Smart Flip Case Cover for Apple iPad 10.2" 9th Gen (2021) / 8th Gen / 7th Gen with Stylus Pen, Black</t>
  </si>
  <si>
    <t>B00P93X0VO</t>
  </si>
  <si>
    <t>Classmate Pulse 6 Subject Notebook - Unruled, 300 Pages, Spiral Binding, 240mm*180mm</t>
  </si>
  <si>
    <t>B07SBGFDX9</t>
  </si>
  <si>
    <t>Pentonic Multicolor Ball Point Pen, Pack of 10</t>
  </si>
  <si>
    <t>B07X2L5Z8C</t>
  </si>
  <si>
    <t>Logitech Pebble M350 Wireless Mouse with Bluetooth or USB - Silent, Slim Computer Mouse with Quiet Click for Laptop, Notebook, PC and Mac - Graphite</t>
  </si>
  <si>
    <t>B00VA7YYUO</t>
  </si>
  <si>
    <t>Apsara Platinum Pencils Value Pack - Pack of 20</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</si>
  <si>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</si>
  <si>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</si>
  <si>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</si>
  <si>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</si>
  <si>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</si>
  <si>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</si>
  <si>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</si>
  <si>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 Tech Equipped Quad Mics, Beast™ Mode(Low Latency- 65ms) for Gaming, 2x6mm Dual Drivers, 30H Playtime, IPX5, IWP™,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</si>
  <si>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</si>
  <si>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</si>
  <si>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</si>
  <si>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</si>
  <si>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</si>
  <si>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</si>
  <si>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</si>
  <si>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</si>
  <si>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B09X7DY7Q4</t>
  </si>
  <si>
    <t>SanDisk Extreme SD UHS I 64GB Card for 4K Video for DSLR and Mirrorless Cameras 170MB/s Read &amp; 80MB/s Write</t>
  </si>
  <si>
    <t>B09YV575RK</t>
  </si>
  <si>
    <t>Fire-Boltt Ring Pro Bluetooth Calling, 1.75”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</si>
  <si>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</si>
  <si>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</si>
  <si>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</si>
  <si>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</si>
  <si>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</si>
  <si>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</si>
  <si>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</si>
  <si>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</si>
  <si>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</si>
  <si>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</si>
  <si>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</si>
  <si>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</si>
  <si>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</si>
  <si>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</si>
  <si>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</si>
  <si>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</si>
  <si>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</si>
  <si>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</si>
  <si>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</si>
  <si>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</si>
  <si>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</si>
  <si>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</si>
  <si>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</si>
  <si>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</si>
  <si>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</si>
  <si>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</si>
  <si>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</si>
  <si>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</si>
  <si>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</si>
  <si>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</si>
  <si>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</si>
  <si>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</si>
  <si>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</si>
  <si>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</si>
  <si>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</si>
  <si>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</si>
  <si>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</si>
  <si>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</si>
  <si>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</si>
  <si>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</si>
  <si>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</si>
  <si>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</si>
  <si>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</si>
  <si>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</si>
  <si>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</si>
  <si>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</si>
  <si>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</si>
  <si>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</si>
  <si>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</si>
  <si>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</si>
  <si>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</si>
  <si>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</si>
  <si>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</si>
  <si>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</si>
  <si>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</si>
  <si>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</si>
  <si>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</si>
  <si>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</si>
  <si>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</si>
  <si>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</si>
  <si>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</si>
  <si>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</si>
  <si>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</si>
  <si>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</si>
  <si>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</si>
  <si>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</si>
  <si>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</si>
  <si>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</si>
  <si>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</si>
  <si>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</si>
  <si>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B09BVCVTBC</t>
  </si>
  <si>
    <t>Redragon K617 Fizz 60% Wired RGB Gaming Keyboard, 61 Keys Compact Mechanical Keyboard w/White and Grey Color Keycaps, Linear Red Switch, Pro Driver/Software Supported</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</si>
  <si>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</si>
  <si>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</si>
  <si>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</si>
  <si>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</si>
  <si>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</si>
  <si>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</si>
  <si>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B08MTLLSL8</t>
  </si>
  <si>
    <t>boAt Bassheads 102 Wired in Ear Earphones with Mic (Mint Green)</t>
  </si>
  <si>
    <t>B08Y57TPDM</t>
  </si>
  <si>
    <t>Duracell CR2016 3V Lithium Coin Battery, 5 pcs, 2016 Coin Button Cell Battery, DL2016</t>
  </si>
  <si>
    <t>B09CYTJV3N</t>
  </si>
  <si>
    <t>MI 360°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</si>
  <si>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</si>
  <si>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</si>
  <si>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</si>
  <si>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</si>
  <si>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</si>
  <si>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</si>
  <si>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</si>
  <si>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</si>
  <si>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</si>
  <si>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</si>
  <si>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B01EJ5MM5M</t>
  </si>
  <si>
    <t>Canon PIXMA MG2577s All-in-One Inkjet Colour Printer with 1 Additional Colour Cartridge</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</si>
  <si>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</si>
  <si>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</si>
  <si>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</si>
  <si>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</si>
  <si>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</si>
  <si>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</si>
  <si>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B08FGNPQ9X</t>
  </si>
  <si>
    <t>Zinq UPS for Router, Mini UPS for 12V WiFi Router Broadband Modem with Upto 4 Hours Power Backup, Upto 2Amp, Works with Existing Adapter, Also Works with Set-top Box, Smart Camera, CCTV (Black)</t>
  </si>
  <si>
    <t>B07NTKGW45</t>
  </si>
  <si>
    <t>SaleOn™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</si>
  <si>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</si>
  <si>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</si>
  <si>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</si>
  <si>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</si>
  <si>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</si>
  <si>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</si>
  <si>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</si>
  <si>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</si>
  <si>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</si>
  <si>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</si>
  <si>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</si>
  <si>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</si>
  <si>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</si>
  <si>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</si>
  <si>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</si>
  <si>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</si>
  <si>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</si>
  <si>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</si>
  <si>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</si>
  <si>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</si>
  <si>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</si>
  <si>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</si>
  <si>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</si>
  <si>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</si>
  <si>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</si>
  <si>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</si>
  <si>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</si>
  <si>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</si>
  <si>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</si>
  <si>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</si>
  <si>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</si>
  <si>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</si>
  <si>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</si>
  <si>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</si>
  <si>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</si>
  <si>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</si>
  <si>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B088GXTJM3</t>
  </si>
  <si>
    <t>DIGITEK® (DLS-9FT) Lightweight &amp; Portable Aluminum Alloy Light Stand for Ring Light, Reflector, Flash Units, Diffuser, Portrait, Softbox, Studio Lighting &amp; More Ideal for Outdoor &amp; Indoor Shoots</t>
  </si>
  <si>
    <t>B099S26HWG</t>
  </si>
  <si>
    <t>Classmate Pulse 1 Subject Notebook - 240mm x 180mm , Soft Cover, 180 Pages, Single Line, Pack of 4</t>
  </si>
  <si>
    <t>B08461VC1Z</t>
  </si>
  <si>
    <t>Scarters Mouse Pad, Desk Mat Extended for Work from Home/Office/Gaming | Vegan PU Leather | Anti-Skid, Anti-Slip, Reversible Splash-Proof – Deskspread ~ Navy Blue &amp; Yellow</t>
  </si>
  <si>
    <t>B00K32PEW4</t>
  </si>
  <si>
    <t>Casio MJ-120D 150 Steps Check and Correct Desktop Calculator with Tax Keys, Black</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</si>
  <si>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</si>
  <si>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</si>
  <si>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</si>
  <si>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</si>
  <si>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</si>
  <si>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</si>
  <si>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</si>
  <si>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</si>
  <si>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</si>
  <si>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</si>
  <si>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</si>
  <si>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</si>
  <si>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</si>
  <si>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</si>
  <si>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</si>
  <si>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</si>
  <si>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</si>
  <si>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</si>
  <si>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</si>
  <si>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</si>
  <si>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</si>
  <si>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</si>
  <si>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</si>
  <si>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</si>
  <si>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</si>
  <si>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</si>
  <si>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B086PXQ2R4</t>
  </si>
  <si>
    <t>Classmate Long Book - Unruled, 160 Pages, 314 mm x 194 mm - Pack Of 3</t>
  </si>
  <si>
    <t>B07L1N3TJX</t>
  </si>
  <si>
    <t>Artis AR-45W-MG2 45 Watts MG2 Laptop Adapter/Charger Compatible with MB Air 13” &amp; MB Air 11” (14.5 V, 3.1 A) Connector: MG2 (T Tip Connector)</t>
  </si>
  <si>
    <t>B07YFWVRCM</t>
  </si>
  <si>
    <t>Imou 360°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</si>
  <si>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</si>
  <si>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</si>
  <si>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</si>
  <si>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</si>
  <si>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</si>
  <si>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</si>
  <si>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</si>
  <si>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</si>
  <si>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</si>
  <si>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</si>
  <si>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</si>
  <si>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</si>
  <si>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</si>
  <si>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</si>
  <si>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B00LY12TH6</t>
  </si>
  <si>
    <t>Camel Oil Pastel with Reusable Plastic Box - 50 Shades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</si>
  <si>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</si>
  <si>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</si>
  <si>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</si>
  <si>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</si>
  <si>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</si>
  <si>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</si>
  <si>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</si>
  <si>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</si>
  <si>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</si>
  <si>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</si>
  <si>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</si>
  <si>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</si>
  <si>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</si>
  <si>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</si>
  <si>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</si>
  <si>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</si>
  <si>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</si>
  <si>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</si>
  <si>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</si>
  <si>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</si>
  <si>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</si>
  <si>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</si>
  <si>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</si>
  <si>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</si>
  <si>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</si>
  <si>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</si>
  <si>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</si>
  <si>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</si>
  <si>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</si>
  <si>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</si>
  <si>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</si>
  <si>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</si>
  <si>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</si>
  <si>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</si>
  <si>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B07W14CHV8</t>
  </si>
  <si>
    <t>CARECASE® Optical Bay 2nd Hard Drive Caddy, 9.5 mm CD/DVD Drive Slot for SSD and HDD</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</si>
  <si>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</si>
  <si>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</si>
  <si>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</si>
  <si>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</si>
  <si>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</si>
  <si>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</si>
  <si>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</si>
  <si>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</si>
  <si>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</si>
  <si>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</si>
  <si>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</si>
  <si>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</si>
  <si>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</si>
  <si>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</si>
  <si>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</si>
  <si>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</si>
  <si>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</si>
  <si>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</si>
  <si>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</si>
  <si>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</si>
  <si>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</si>
  <si>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</si>
  <si>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B00H47GVGY</t>
  </si>
  <si>
    <t>USHA Quartz Room Heater with Overheating Protection (3002, Ivory, 800 Watts)</t>
  </si>
  <si>
    <t>B07VX71FZP</t>
  </si>
  <si>
    <t>Amazon Brand - Solimo 2000/1000 Watts Room Heater with Adjustable Thermostat (ISI certified, White colour, Ideal for small to medium room/area)</t>
  </si>
  <si>
    <t>B07NCKMXVZ</t>
  </si>
  <si>
    <t>StyleHouse Lint Remover for Woolen Clothes, Electric Lint Remover, Best Lint Shaver for Clothes</t>
  </si>
  <si>
    <t>B0B61DSF17</t>
  </si>
  <si>
    <t>beatXP Kitchen Scale Multipurpose Portable Electronic Digital Weighing Scale | Weight Machine With Back light LCD Display | White |10 kg | 2 Year Warranty |</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</si>
  <si>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</si>
  <si>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</si>
  <si>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</si>
  <si>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</si>
  <si>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</si>
  <si>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</si>
  <si>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</si>
  <si>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</si>
  <si>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</si>
  <si>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</si>
  <si>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</si>
  <si>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</si>
  <si>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</si>
  <si>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</si>
  <si>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</si>
  <si>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</si>
  <si>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</si>
  <si>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</si>
  <si>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</si>
  <si>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</si>
  <si>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B01C8P29N0</t>
  </si>
  <si>
    <t>Bajaj DX-6 1000W Dry Iron with Advance Soleplate and Anti-bacterial German Coating Technology, White</t>
  </si>
  <si>
    <t>B08KDBLMQP</t>
  </si>
  <si>
    <t>Croma 500W Mixer Grinder with 3 Stainless Steel Leak-proof Jars, 3 speed &amp; Pulse function, 2 years warranty (CRAK4184, White &amp; Purple)</t>
  </si>
  <si>
    <t>B078JDNZJ8</t>
  </si>
  <si>
    <t>Havells Instanio 3-Litre Instant Geyser (White/Blue)</t>
  </si>
  <si>
    <t>B01M5F614J</t>
  </si>
  <si>
    <t>Morphy Richards OFR Room Heater, 09 Fin 2000 Watts Oil Filled Room Heater , ISI Approved (OFR 9 Grey)</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</si>
  <si>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</si>
  <si>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</si>
  <si>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</si>
  <si>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</si>
  <si>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</si>
  <si>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</si>
  <si>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B097R45BH8</t>
  </si>
  <si>
    <t>Bajaj New Shakti Neo 15L Vertical Storage Water Heater (Geyser 15 litres) 4 Star BEE Rated Heater For Water Heating with Titanium Armour, Swirl Flow Technology, Glasslined Tank (White), 1 Yr Warranty</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</si>
  <si>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</si>
  <si>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</si>
  <si>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</si>
  <si>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</si>
  <si>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</si>
  <si>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</si>
  <si>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</si>
  <si>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</si>
  <si>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</si>
  <si>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</si>
  <si>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</si>
  <si>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</si>
  <si>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</si>
  <si>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</si>
  <si>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</si>
  <si>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</si>
  <si>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</si>
  <si>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</si>
  <si>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</si>
  <si>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 High Speed Air Circulation Technology 1200 W with Non-Stick 4.2 L Basket - Green</t>
  </si>
  <si>
    <t>B0814P4L98</t>
  </si>
  <si>
    <t>PrettyKrafts Laundry Basket for clothes with Lid &amp; Handles, Toys Organiser, 75 Ltr Black &amp; Grey</t>
  </si>
  <si>
    <t>B008QTK47Q</t>
  </si>
  <si>
    <t>Philips GC1905 1440-Watt Steam Iron with Spray (Blue)</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</si>
  <si>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</si>
  <si>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</si>
  <si>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</si>
  <si>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</si>
  <si>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</si>
  <si>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</si>
  <si>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</si>
  <si>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</si>
  <si>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</si>
  <si>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</si>
  <si>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</si>
  <si>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</si>
  <si>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</si>
  <si>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</si>
  <si>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</si>
  <si>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</si>
  <si>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</si>
  <si>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</si>
  <si>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</si>
  <si>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</si>
  <si>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</si>
  <si>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</si>
  <si>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</si>
  <si>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</si>
  <si>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</si>
  <si>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</si>
  <si>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</si>
  <si>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</si>
  <si>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</si>
  <si>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</si>
  <si>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</si>
  <si>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</si>
  <si>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</si>
  <si>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</si>
  <si>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</si>
  <si>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</si>
  <si>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</si>
  <si>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</si>
  <si>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</si>
  <si>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</si>
  <si>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</si>
  <si>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</si>
  <si>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</si>
  <si>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</si>
  <si>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</si>
  <si>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</si>
  <si>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</si>
  <si>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</si>
  <si>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</si>
  <si>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</si>
  <si>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</si>
  <si>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</si>
  <si>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</si>
  <si>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</si>
  <si>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</si>
  <si>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</si>
  <si>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</si>
  <si>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</si>
  <si>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</si>
  <si>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</si>
  <si>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</si>
  <si>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</si>
  <si>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</si>
  <si>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</si>
  <si>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</si>
  <si>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</si>
  <si>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</si>
  <si>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 Chef-Mate KS 40</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</si>
  <si>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</si>
  <si>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</si>
  <si>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</si>
  <si>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</si>
  <si>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</si>
  <si>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</si>
  <si>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</si>
  <si>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</si>
  <si>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B01M0505SJ</t>
  </si>
  <si>
    <t>Orient Electric Apex-FX 1200mm Ultra High Speed 400 RPM Ceiling Fan (Brown)</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</si>
  <si>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</si>
  <si>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</si>
  <si>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</si>
  <si>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</si>
  <si>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</si>
  <si>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</si>
  <si>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</si>
  <si>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</si>
  <si>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</si>
  <si>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</si>
  <si>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</si>
  <si>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</si>
  <si>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</si>
  <si>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</si>
  <si>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</si>
  <si>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</si>
  <si>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</si>
  <si>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</si>
  <si>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B009P2LK80</t>
  </si>
  <si>
    <t>Bajaj Deluxe 2000 Watts Halogen Room Heater (Steel, ISI Approved), Multicolor</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</si>
  <si>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</si>
  <si>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</si>
  <si>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</si>
  <si>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</si>
  <si>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</si>
  <si>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</si>
  <si>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</si>
  <si>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</si>
  <si>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</si>
  <si>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</si>
  <si>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</si>
  <si>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</si>
  <si>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B08MVSGXMY</t>
  </si>
  <si>
    <t>Crompton Insta Comfy 800 Watt Room Heater with 2 Heat Settings(Grey Blue)</t>
  </si>
  <si>
    <t>B00H0B29DI</t>
  </si>
  <si>
    <t>USHA Heat Convector 812 T 2000-Watt with Instant Heating Feature (Black)</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</si>
  <si>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</si>
  <si>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</si>
  <si>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</si>
  <si>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</si>
  <si>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</si>
  <si>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</si>
  <si>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</si>
  <si>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</si>
  <si>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B09CGLY5CX</t>
  </si>
  <si>
    <t>Crompton Insta Comfort Heater 2000 Watts Heat Convector with Adjustable Thermostats, Hybrid Cyan, Standard (‎ACGRH-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</si>
  <si>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</si>
  <si>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</si>
  <si>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</si>
  <si>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</si>
  <si>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</si>
  <si>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</si>
  <si>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</si>
  <si>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</si>
  <si>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</si>
  <si>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</si>
  <si>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</si>
  <si>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</si>
  <si>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</si>
  <si>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</si>
  <si>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</si>
  <si>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</si>
  <si>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B00SH18114</t>
  </si>
  <si>
    <t>Ikea 903.391.72 Polypropylene Plastic Solid Bevara Sealing Clip (Multicolour) - 30 Pack, Adjustable</t>
  </si>
  <si>
    <t>B00E9G8KOY</t>
  </si>
  <si>
    <t>HUL Pureit Germkill kit for Classic 23 L water purifier - 1500 L Capacity</t>
  </si>
  <si>
    <t>B00H3H03Q4</t>
  </si>
  <si>
    <t>HUL Pureit Germkill kit for Classic 23 L water purifier - 3000 L Capacity</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</si>
  <si>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</si>
  <si>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</si>
  <si>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</si>
  <si>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</si>
  <si>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</si>
  <si>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</si>
  <si>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</si>
  <si>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</si>
  <si>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</si>
  <si>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</si>
  <si>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</si>
  <si>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</si>
  <si>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</si>
  <si>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</si>
  <si>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</si>
  <si>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</si>
  <si>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</si>
  <si>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</si>
  <si>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</si>
  <si>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</si>
  <si>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</si>
  <si>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</si>
  <si>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</si>
  <si>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</si>
  <si>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</si>
  <si>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</si>
  <si>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</si>
  <si>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</si>
  <si>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</si>
  <si>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</si>
  <si>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</si>
  <si>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</si>
  <si>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</si>
  <si>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</si>
  <si>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</si>
  <si>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</si>
  <si>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</si>
  <si>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</si>
  <si>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</si>
  <si>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</si>
  <si>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</si>
  <si>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</si>
  <si>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</si>
  <si>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</si>
  <si>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</si>
  <si>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</si>
  <si>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</si>
  <si>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</si>
  <si>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</si>
  <si>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</si>
  <si>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</si>
  <si>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</si>
  <si>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</si>
  <si>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</si>
  <si>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</si>
  <si>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</si>
  <si>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</si>
  <si>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</si>
  <si>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</si>
  <si>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</si>
  <si>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</si>
  <si>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</si>
  <si>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</si>
  <si>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</si>
  <si>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</si>
  <si>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</si>
  <si>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</si>
  <si>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</si>
  <si>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</si>
  <si>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</si>
  <si>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</si>
  <si>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</si>
  <si>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</si>
  <si>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</si>
  <si>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</si>
  <si>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</si>
  <si>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</si>
  <si>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</si>
  <si>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</si>
  <si>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</si>
  <si>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</si>
  <si>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</si>
  <si>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</si>
  <si>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</si>
  <si>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</si>
  <si>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</si>
  <si>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</si>
  <si>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</si>
  <si>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B07FXLC2G2</t>
  </si>
  <si>
    <t>Tata Swach Bulb 6000-Litre Cartridge, 1 Piece, White, Hollow Fiber Membrane</t>
  </si>
  <si>
    <t>B01LYU3BZF</t>
  </si>
  <si>
    <t>Havells Ambrose 1200mm Ceiling Fan (Gold Mist Wood)</t>
  </si>
  <si>
    <t>B083RC4WFJ</t>
  </si>
  <si>
    <t>PrettyKrafts Laundry Bag / Basket for Dirty Clothes, Folding Round Laundry Bag,Set of 2, Black Wave</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</si>
  <si>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</si>
  <si>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</si>
  <si>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</si>
  <si>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</si>
  <si>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</si>
  <si>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</si>
  <si>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</si>
  <si>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</si>
  <si>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</si>
  <si>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</si>
  <si>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</si>
  <si>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</si>
  <si>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</si>
  <si>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</si>
  <si>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</si>
  <si>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</si>
  <si>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</si>
  <si>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</si>
  <si>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</si>
  <si>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</si>
  <si>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</si>
  <si>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</si>
  <si>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</si>
  <si>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</si>
  <si>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</si>
  <si>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</si>
  <si>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</si>
  <si>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</si>
  <si>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</si>
  <si>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 - Makes life easy Mini Sewing Machine with Table Set | Tailoring Machine | Hand Sewing Machine with extension table, foot pedal, adapter</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</si>
  <si>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</si>
  <si>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</si>
  <si>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</si>
  <si>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</si>
  <si>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</si>
  <si>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</si>
  <si>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</si>
  <si>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</si>
  <si>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</si>
  <si>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</si>
  <si>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</si>
  <si>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</si>
  <si>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</si>
  <si>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</si>
  <si>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</si>
  <si>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</si>
  <si>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</si>
  <si>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</si>
  <si>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</si>
  <si>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</si>
  <si>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</si>
  <si>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</si>
  <si>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</si>
  <si>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</si>
  <si>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</si>
  <si>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</si>
  <si>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</si>
  <si>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</si>
  <si>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B07N2MGB3G</t>
  </si>
  <si>
    <t>AGARO Marvel 9 Liters Oven Toaster Griller, Cake Baking OTG (Black)</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</si>
  <si>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</si>
  <si>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</si>
  <si>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</si>
  <si>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</si>
  <si>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</si>
  <si>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</si>
  <si>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</si>
  <si>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</si>
  <si>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</si>
  <si>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</si>
  <si>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</si>
  <si>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</si>
  <si>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</si>
  <si>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</si>
  <si>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</si>
  <si>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</si>
  <si>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</si>
  <si>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</si>
  <si>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</si>
  <si>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</si>
  <si>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</si>
  <si>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</si>
  <si>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</si>
  <si>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</si>
  <si>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</si>
  <si>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</si>
  <si>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</si>
  <si>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</si>
  <si>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</si>
  <si>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</si>
  <si>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</si>
  <si>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</si>
  <si>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</si>
  <si>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</si>
  <si>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</si>
  <si>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</si>
  <si>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</si>
  <si>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</si>
  <si>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</si>
  <si>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</si>
  <si>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</si>
  <si>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</si>
  <si>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</si>
  <si>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</si>
  <si>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</si>
  <si>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</si>
  <si>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</si>
  <si>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</si>
  <si>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</si>
  <si>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</si>
  <si>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</si>
  <si>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</si>
  <si>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</si>
  <si>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</si>
  <si>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</si>
  <si>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</si>
  <si>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</si>
  <si>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</si>
  <si>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</si>
  <si>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</si>
  <si>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</si>
  <si>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</si>
  <si>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</si>
  <si>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</si>
  <si>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</si>
  <si>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</si>
  <si>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</si>
  <si>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</si>
  <si>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</si>
  <si>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</si>
  <si>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</si>
  <si>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</si>
  <si>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</si>
  <si>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</si>
  <si>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</si>
  <si>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</si>
  <si>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</si>
  <si>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</si>
  <si>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</si>
  <si>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</si>
  <si>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</si>
  <si>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</si>
  <si>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</si>
  <si>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</si>
  <si>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</si>
  <si>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</si>
  <si>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</si>
  <si>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</si>
  <si>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</si>
  <si>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</si>
  <si>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</si>
  <si>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</si>
  <si>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</si>
  <si>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</si>
  <si>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</si>
  <si>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</si>
  <si>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</si>
  <si>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-180ᶿ&amp;105ᶿ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</si>
  <si>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</si>
  <si>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</si>
  <si>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</si>
  <si>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</si>
  <si>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</si>
  <si>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</si>
  <si>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</si>
  <si>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</si>
  <si>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</si>
  <si>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</si>
  <si>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</si>
  <si>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</si>
  <si>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</si>
  <si>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</si>
  <si>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</si>
  <si>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</si>
  <si>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</si>
  <si>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</si>
  <si>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</si>
  <si>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</si>
  <si>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</si>
  <si>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</si>
  <si>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</si>
  <si>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</si>
  <si>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</si>
  <si>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</si>
  <si>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</si>
  <si>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</si>
  <si>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</si>
  <si>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</si>
  <si>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</si>
  <si>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</si>
  <si>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</si>
  <si>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</si>
  <si>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</si>
  <si>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</si>
  <si>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</si>
  <si>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</si>
  <si>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</si>
  <si>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</si>
  <si>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</si>
  <si>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</si>
  <si>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</si>
  <si>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</si>
  <si>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</si>
  <si>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</si>
  <si>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</si>
  <si>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</si>
  <si>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</si>
  <si>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</si>
  <si>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</si>
  <si>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</si>
  <si>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</si>
  <si>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</si>
  <si>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</si>
  <si>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</si>
  <si>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</si>
  <si>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</si>
  <si>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</si>
  <si>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</si>
  <si>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</si>
  <si>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</si>
  <si>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</si>
  <si>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</si>
  <si>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</si>
  <si>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</si>
  <si>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</si>
  <si>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</si>
  <si>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</si>
  <si>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</si>
  <si>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</si>
  <si>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</si>
  <si>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</si>
  <si>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</si>
  <si>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</si>
  <si>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</si>
  <si>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</si>
  <si>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</si>
  <si>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</si>
  <si>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</si>
  <si>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</si>
  <si>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</si>
  <si>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</si>
  <si>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</si>
  <si>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</si>
  <si>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</si>
  <si>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</si>
  <si>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 EvenCrisp™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</si>
  <si>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</si>
  <si>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</si>
  <si>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</si>
  <si>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</si>
  <si>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</si>
  <si>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</si>
  <si>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</si>
  <si>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</si>
  <si>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</si>
  <si>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</si>
  <si>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</si>
  <si>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</si>
  <si>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</si>
  <si>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</si>
  <si>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</si>
  <si>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</si>
  <si>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</si>
  <si>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</si>
  <si>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</si>
  <si>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</si>
  <si>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</si>
  <si>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</si>
  <si>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</si>
  <si>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</si>
  <si>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</si>
  <si>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</si>
  <si>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</si>
  <si>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</si>
  <si>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</si>
  <si>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</si>
  <si>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</si>
  <si>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</si>
  <si>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</si>
  <si>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</si>
  <si>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</si>
  <si>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</si>
  <si>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</si>
  <si>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</si>
  <si>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</si>
  <si>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</si>
  <si>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</si>
  <si>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</si>
  <si>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</si>
  <si>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</si>
  <si>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</si>
  <si>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</si>
  <si>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</si>
  <si>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</si>
  <si>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</si>
  <si>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</si>
  <si>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</si>
  <si>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</si>
  <si>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</si>
  <si>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</si>
  <si>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</si>
  <si>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</si>
  <si>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</si>
  <si>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</si>
  <si>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</si>
  <si>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</si>
  <si>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</si>
  <si>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</si>
  <si>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</si>
  <si>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</si>
  <si>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</si>
  <si>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</si>
  <si>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</si>
  <si>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</si>
  <si>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</si>
  <si>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</si>
  <si>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</si>
  <si>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</si>
  <si>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B07R679HTT</t>
  </si>
  <si>
    <t>AGARO Imperial 240-Watt Slow Juicer with Cold Press Technology</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</si>
  <si>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</si>
  <si>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</si>
  <si>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</si>
  <si>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</si>
  <si>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</si>
  <si>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</si>
  <si>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</si>
  <si>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</si>
  <si>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</si>
  <si>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</si>
  <si>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</si>
  <si>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</si>
  <si>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</si>
  <si>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</si>
  <si>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</si>
  <si>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</si>
  <si>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</si>
  <si>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</si>
  <si>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</si>
  <si>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</si>
  <si>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</si>
  <si>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</si>
  <si>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</si>
  <si>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</si>
  <si>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</si>
  <si>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</si>
  <si>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</si>
  <si>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</si>
  <si>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</si>
  <si>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</si>
  <si>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</si>
  <si>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</si>
  <si>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</si>
  <si>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</si>
  <si>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</si>
  <si>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</si>
  <si>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</si>
  <si>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</si>
  <si>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</si>
  <si>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</si>
  <si>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</si>
  <si>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</si>
  <si>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</si>
  <si>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</si>
  <si>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</si>
  <si>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</si>
  <si>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</si>
  <si>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</si>
  <si>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</si>
  <si>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</si>
  <si>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</si>
  <si>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</si>
  <si>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</si>
  <si>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</si>
  <si>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</si>
  <si>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</si>
  <si>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</si>
  <si>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</si>
  <si>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</si>
  <si>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</si>
  <si>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</si>
  <si>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</si>
  <si>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</si>
  <si>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</si>
  <si>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</si>
  <si>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</si>
  <si>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</si>
  <si>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</si>
  <si>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</si>
  <si>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</si>
  <si>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</si>
  <si>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</si>
  <si>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</si>
  <si>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</si>
  <si>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</si>
  <si>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</si>
  <si>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</si>
  <si>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</si>
  <si>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</si>
  <si>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</si>
  <si>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</si>
  <si>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</si>
  <si>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</si>
  <si>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</si>
  <si>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</si>
  <si>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</si>
  <si>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</si>
  <si>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</si>
  <si>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</si>
  <si>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</si>
  <si>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</si>
  <si>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</si>
  <si>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</si>
  <si>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</si>
  <si>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</si>
  <si>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</si>
  <si>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</si>
  <si>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</si>
  <si>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</si>
  <si>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</si>
  <si>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</si>
  <si>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</si>
  <si>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</si>
  <si>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</si>
  <si>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</si>
  <si>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</si>
  <si>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</si>
  <si>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</si>
  <si>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</si>
  <si>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</si>
  <si>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</si>
  <si>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</si>
  <si>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</si>
  <si>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</si>
  <si>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</si>
  <si>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</si>
  <si>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</si>
  <si>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</si>
  <si>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</si>
  <si>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</si>
  <si>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</si>
  <si>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</si>
  <si>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</si>
  <si>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</si>
  <si>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</si>
  <si>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</si>
  <si>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</si>
  <si>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</si>
  <si>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</si>
  <si>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</si>
  <si>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</si>
  <si>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</si>
  <si>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</si>
  <si>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</si>
  <si>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</si>
  <si>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</si>
  <si>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</si>
  <si>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</si>
  <si>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</si>
  <si>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</si>
  <si>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</si>
  <si>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</si>
  <si>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</si>
  <si>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</si>
  <si>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</si>
  <si>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</si>
  <si>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</si>
  <si>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</si>
  <si>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</si>
  <si>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</si>
  <si>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</si>
  <si>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</si>
  <si>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</si>
  <si>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</si>
  <si>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</si>
  <si>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</si>
  <si>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</si>
  <si>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</si>
  <si>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</si>
  <si>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</si>
  <si>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</si>
  <si>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</si>
  <si>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</si>
  <si>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</si>
  <si>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</si>
  <si>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</si>
  <si>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</si>
  <si>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</si>
  <si>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</si>
  <si>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</si>
  <si>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</si>
  <si>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</si>
  <si>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</si>
  <si>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</si>
  <si>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</si>
  <si>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</si>
  <si>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</si>
  <si>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</si>
  <si>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</si>
  <si>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</si>
  <si>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</si>
  <si>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</si>
  <si>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</si>
  <si>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</si>
  <si>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</si>
  <si>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</si>
  <si>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</si>
  <si>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</si>
  <si>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</si>
  <si>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</si>
  <si>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</si>
  <si>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</si>
  <si>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B08WWKM5HQ</t>
  </si>
  <si>
    <t>Crompton Highspeed Markle Prime 1200 mm (48 inch) Anti-Dust Ceiling Fan with Energy Efficient 55W Motor (Burgundy)</t>
  </si>
  <si>
    <t>B015GX9Y0W</t>
  </si>
  <si>
    <t>Lifelong LLWM105 750-Watt Belgian Waffle Maker for Home| Makes 2 Square Shape Waffles| Non-stick Plates| Easy to Use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</si>
  <si>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</si>
  <si>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</si>
  <si>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</si>
  <si>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</si>
  <si>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</si>
  <si>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</si>
  <si>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</si>
  <si>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</si>
  <si>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</si>
  <si>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</si>
  <si>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</si>
  <si>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</si>
  <si>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</si>
  <si>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</si>
  <si>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</si>
  <si>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</si>
  <si>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</si>
  <si>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</si>
  <si>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</si>
  <si>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</si>
  <si>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</si>
  <si>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</si>
  <si>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</si>
  <si>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</si>
  <si>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</si>
  <si>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</si>
  <si>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</si>
  <si>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</si>
  <si>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</si>
  <si>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</si>
  <si>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</si>
  <si>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</si>
  <si>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</si>
  <si>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</si>
  <si>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</si>
  <si>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</si>
  <si>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</si>
  <si>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</si>
  <si>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</si>
  <si>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</si>
  <si>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</si>
  <si>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</si>
  <si>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</si>
  <si>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</si>
  <si>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</si>
  <si>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</si>
  <si>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</si>
  <si>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</si>
  <si>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</si>
  <si>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</si>
  <si>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</si>
  <si>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</si>
  <si>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</si>
  <si>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</si>
  <si>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</si>
  <si>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</si>
  <si>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</si>
  <si>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</si>
  <si>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</si>
  <si>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</si>
  <si>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Row Labels</t>
  </si>
  <si>
    <t>Grand Total</t>
  </si>
  <si>
    <t>subcategory</t>
  </si>
  <si>
    <t>Computers&amp;Accessories</t>
  </si>
  <si>
    <t>USBCables</t>
  </si>
  <si>
    <t>WirelessUSBAdapters</t>
  </si>
  <si>
    <t>Electronics</t>
  </si>
  <si>
    <t>HDMICables</t>
  </si>
  <si>
    <t>SmartTelevisions</t>
  </si>
  <si>
    <t>RemoteControls</t>
  </si>
  <si>
    <t>StandardTelevisions</t>
  </si>
  <si>
    <t>TVWall&amp;CeilingMounts</t>
  </si>
  <si>
    <t>RCACables</t>
  </si>
  <si>
    <t>Mounts</t>
  </si>
  <si>
    <t>OpticalCables</t>
  </si>
  <si>
    <t>Projectors</t>
  </si>
  <si>
    <t>Adapters</t>
  </si>
  <si>
    <t>SatelliteReceivers</t>
  </si>
  <si>
    <t>DVICables</t>
  </si>
  <si>
    <t>SpeakerCables</t>
  </si>
  <si>
    <t>StreamingClients</t>
  </si>
  <si>
    <t>AVReceivers&amp;Amplifiers</t>
  </si>
  <si>
    <t>TowerSpeakers</t>
  </si>
  <si>
    <t>3DGlasses</t>
  </si>
  <si>
    <t>SmartWatches</t>
  </si>
  <si>
    <t>PowerBanks</t>
  </si>
  <si>
    <t>Smartphones</t>
  </si>
  <si>
    <t>MicroSD</t>
  </si>
  <si>
    <t>BasicMobiles</t>
  </si>
  <si>
    <t>In-Ear</t>
  </si>
  <si>
    <t>AutomobileChargers</t>
  </si>
  <si>
    <t>Cradles</t>
  </si>
  <si>
    <t>WallChargers</t>
  </si>
  <si>
    <t>OTGAdapters</t>
  </si>
  <si>
    <t>Tripods</t>
  </si>
  <si>
    <t>SelfieSticks</t>
  </si>
  <si>
    <t>Stands</t>
  </si>
  <si>
    <t>CableConnectionProtectors</t>
  </si>
  <si>
    <t>Décor</t>
  </si>
  <si>
    <t>ScreenProtectors</t>
  </si>
  <si>
    <t>StylusPens</t>
  </si>
  <si>
    <t>Bedstand&amp;DeskMounts</t>
  </si>
  <si>
    <t>BasicCases</t>
  </si>
  <si>
    <t>HandlebarMounts</t>
  </si>
  <si>
    <t>On-Ear</t>
  </si>
  <si>
    <t>CameraPrivacyCovers</t>
  </si>
  <si>
    <t>PhoneCharms</t>
  </si>
  <si>
    <t>Shower&amp;WallMounts</t>
  </si>
  <si>
    <t>PenDrives</t>
  </si>
  <si>
    <t>Mice</t>
  </si>
  <si>
    <t>GraphicTablets</t>
  </si>
  <si>
    <t>Lapdesks</t>
  </si>
  <si>
    <t>NotebookComputerStands</t>
  </si>
  <si>
    <t>Keyboards</t>
  </si>
  <si>
    <t>MusicalInstruments</t>
  </si>
  <si>
    <t>Condenser</t>
  </si>
  <si>
    <t>DisposableBatteries</t>
  </si>
  <si>
    <t>OfficeProducts</t>
  </si>
  <si>
    <t>GelInkRollerballPens</t>
  </si>
  <si>
    <t>Home&amp;Kitchen</t>
  </si>
  <si>
    <t>Tape</t>
  </si>
  <si>
    <t>Keyboard&amp;MouseSets</t>
  </si>
  <si>
    <t>ExternalHardDisks</t>
  </si>
  <si>
    <t>VideoCameras</t>
  </si>
  <si>
    <t>Tabletop&amp;TravelTripods</t>
  </si>
  <si>
    <t>Scientific</t>
  </si>
  <si>
    <t>Repeaters&amp;Extenders</t>
  </si>
  <si>
    <t>TripodLegs</t>
  </si>
  <si>
    <t>InkjetInkCartridges</t>
  </si>
  <si>
    <t>DustCovers</t>
  </si>
  <si>
    <t>GamingMice</t>
  </si>
  <si>
    <t>Paints</t>
  </si>
  <si>
    <t>MousePads</t>
  </si>
  <si>
    <t>HardDiskBags</t>
  </si>
  <si>
    <t>Macro&amp;RinglightFlashes</t>
  </si>
  <si>
    <t>Routers</t>
  </si>
  <si>
    <t>Over-Ear</t>
  </si>
  <si>
    <t>BluetoothSpeakers</t>
  </si>
  <si>
    <t>WireboundNotebooks</t>
  </si>
  <si>
    <t>RechargeableBatteries</t>
  </si>
  <si>
    <t>BluetoothAdapters</t>
  </si>
  <si>
    <t>USBtoUSBAdapters</t>
  </si>
  <si>
    <t>CompleteTripodUnits</t>
  </si>
  <si>
    <t>Notepads&amp;MemoBooks</t>
  </si>
  <si>
    <t>Film</t>
  </si>
  <si>
    <t>Lamps</t>
  </si>
  <si>
    <t>CleaningKits</t>
  </si>
  <si>
    <t>DomeCameras</t>
  </si>
  <si>
    <t>Gamepads</t>
  </si>
  <si>
    <t>Basic</t>
  </si>
  <si>
    <t>USBHubs</t>
  </si>
  <si>
    <t>PCMicrophones</t>
  </si>
  <si>
    <t>OutdoorSpeakers</t>
  </si>
  <si>
    <t>LaptopSleeves&amp;Slipcases</t>
  </si>
  <si>
    <t>ExternalMemoryCardReaders</t>
  </si>
  <si>
    <t>BottledInk</t>
  </si>
  <si>
    <t>CompositionNotebooks</t>
  </si>
  <si>
    <t>RetractableBallpointPens</t>
  </si>
  <si>
    <t>EthernetCables</t>
  </si>
  <si>
    <t>Memory</t>
  </si>
  <si>
    <t>UninterruptedPowerSupplies</t>
  </si>
  <si>
    <t>Cases</t>
  </si>
  <si>
    <t>SecureDigitalCards</t>
  </si>
  <si>
    <t>SelfieLights</t>
  </si>
  <si>
    <t>Webcams</t>
  </si>
  <si>
    <t>CoolingPads</t>
  </si>
  <si>
    <t>LaptopAccessories</t>
  </si>
  <si>
    <t>HomeImprovement</t>
  </si>
  <si>
    <t>Adapters&amp;Multi-Outlets</t>
  </si>
  <si>
    <t>ColouredPaper</t>
  </si>
  <si>
    <t>InternalSolidStateDrives</t>
  </si>
  <si>
    <t>MultimediaSpeakerSystems</t>
  </si>
  <si>
    <t>DataCards&amp;Dongles</t>
  </si>
  <si>
    <t>LaptopChargers&amp;PowerSupplies</t>
  </si>
  <si>
    <t>PCSpeakers</t>
  </si>
  <si>
    <t>BatteryChargers</t>
  </si>
  <si>
    <t>StickBallpointPens</t>
  </si>
  <si>
    <t>WoodenPencils</t>
  </si>
  <si>
    <t>InternalHardDrives</t>
  </si>
  <si>
    <t>Printers</t>
  </si>
  <si>
    <t>Pens</t>
  </si>
  <si>
    <t>SATACables</t>
  </si>
  <si>
    <t>PCHeadsets</t>
  </si>
  <si>
    <t>GamingKeyboards</t>
  </si>
  <si>
    <t>SoundbarSpeakers</t>
  </si>
  <si>
    <t>Earpads</t>
  </si>
  <si>
    <t>InkjetPrinters</t>
  </si>
  <si>
    <t>Toys&amp;Games</t>
  </si>
  <si>
    <t>ColouringPens&amp;Markers</t>
  </si>
  <si>
    <t>Headsets</t>
  </si>
  <si>
    <t>ExternalSolidStateDrives</t>
  </si>
  <si>
    <t>PowerLANAdapters</t>
  </si>
  <si>
    <t>InkjetInkRefills&amp;Kits</t>
  </si>
  <si>
    <t>Notebooks,WritingPads&amp;Diaries</t>
  </si>
  <si>
    <t>BackgroundSupports</t>
  </si>
  <si>
    <t>Financial&amp;Business</t>
  </si>
  <si>
    <t>SurgeProtectors</t>
  </si>
  <si>
    <t>CordManagement</t>
  </si>
  <si>
    <t>PaintingMaterials</t>
  </si>
  <si>
    <t>TonerCartridges</t>
  </si>
  <si>
    <t>LiquidInkRollerballPens</t>
  </si>
  <si>
    <t>FountainPens</t>
  </si>
  <si>
    <t>Caddies</t>
  </si>
  <si>
    <t>TraditionalLaptops</t>
  </si>
  <si>
    <t>ElectricKettles</t>
  </si>
  <si>
    <t>ElectricHeaters</t>
  </si>
  <si>
    <t>FanHeaters</t>
  </si>
  <si>
    <t>LintShavers</t>
  </si>
  <si>
    <t>DigitalKitchenScales</t>
  </si>
  <si>
    <t>Choppers</t>
  </si>
  <si>
    <t>InductionCooktop</t>
  </si>
  <si>
    <t>HandBlenders</t>
  </si>
  <si>
    <t>DryIrons</t>
  </si>
  <si>
    <t>MixerGrinders</t>
  </si>
  <si>
    <t>InstantWaterHeaters</t>
  </si>
  <si>
    <t>RoomHeaters</t>
  </si>
  <si>
    <t>Kettle&amp;ToasterSets</t>
  </si>
  <si>
    <t>StorageWaterHeaters</t>
  </si>
  <si>
    <t>ImmersionRods</t>
  </si>
  <si>
    <t>AirFryers</t>
  </si>
  <si>
    <t>LaundryBaskets</t>
  </si>
  <si>
    <t>SteamIrons</t>
  </si>
  <si>
    <t>JuicerMixerGrinders</t>
  </si>
  <si>
    <t>HandheldVacuums</t>
  </si>
  <si>
    <t>EggBoilers</t>
  </si>
  <si>
    <t>SandwichMakers</t>
  </si>
  <si>
    <t>MiniFoodProcessors&amp;Choppers</t>
  </si>
  <si>
    <t>DigitalScales</t>
  </si>
  <si>
    <t>VacuumSealers</t>
  </si>
  <si>
    <t>CeilingFans</t>
  </si>
  <si>
    <t>CanisterVacuums</t>
  </si>
  <si>
    <t>PressureWashers,Steam&amp;WindowCleaners</t>
  </si>
  <si>
    <t>HalogenHeaters</t>
  </si>
  <si>
    <t>Pop-upToasters</t>
  </si>
  <si>
    <t>HeatConvectors</t>
  </si>
  <si>
    <t>ElectricGrinders</t>
  </si>
  <si>
    <t>ExhaustFans</t>
  </si>
  <si>
    <t>DripCoffeeMachines</t>
  </si>
  <si>
    <t>WaterPurifierAccessories</t>
  </si>
  <si>
    <t>WaterCartridges</t>
  </si>
  <si>
    <t>Rice&amp;PastaCookers</t>
  </si>
  <si>
    <t>Car&amp;Motorbike</t>
  </si>
  <si>
    <t>AirPurifiers&amp;Ionizers</t>
  </si>
  <si>
    <t>Wet-DryVacuums</t>
  </si>
  <si>
    <t>HEPAAirPurifiers</t>
  </si>
  <si>
    <t>WaterFilters&amp;Purifiers</t>
  </si>
  <si>
    <t>LaundryBags</t>
  </si>
  <si>
    <t>Sewing&amp;EmbroideryMachines</t>
  </si>
  <si>
    <t>SprayBottles</t>
  </si>
  <si>
    <t>HandMixers</t>
  </si>
  <si>
    <t>WetGrinders</t>
  </si>
  <si>
    <t>OvenToasterGrills</t>
  </si>
  <si>
    <t>Juicers</t>
  </si>
  <si>
    <t>SmallKitchenAppliances</t>
  </si>
  <si>
    <t>Health&amp;PersonalCare</t>
  </si>
  <si>
    <t>DigitalBathroomScales</t>
  </si>
  <si>
    <t>EspressoMachines</t>
  </si>
  <si>
    <t>TableFans</t>
  </si>
  <si>
    <t>MilkFrothers</t>
  </si>
  <si>
    <t>Humidifiers</t>
  </si>
  <si>
    <t>StandMixerAccessories</t>
  </si>
  <si>
    <t>RoboticVacuums</t>
  </si>
  <si>
    <t>YogurtMakers</t>
  </si>
  <si>
    <t>ColdPressJuicers</t>
  </si>
  <si>
    <t>Split-SystemAirConditioners</t>
  </si>
  <si>
    <t>SmallApplianceParts&amp;Accessories</t>
  </si>
  <si>
    <t>WaffleMakers&amp;Irons</t>
  </si>
  <si>
    <t>StovetopEspressoPots</t>
  </si>
  <si>
    <t>MeasuringSpoons</t>
  </si>
  <si>
    <t>CoffeePresses</t>
  </si>
  <si>
    <t>RotiMakers</t>
  </si>
  <si>
    <t>FanParts&amp;Accessories</t>
  </si>
  <si>
    <t>StandMixers</t>
  </si>
  <si>
    <t>PedestalFans</t>
  </si>
  <si>
    <t>HandheldBags</t>
  </si>
  <si>
    <t>Count of product_id</t>
  </si>
  <si>
    <t>Category</t>
  </si>
  <si>
    <t>Unique subcategories</t>
  </si>
  <si>
    <t>Average of actual_price</t>
  </si>
  <si>
    <t>Max of actual_price</t>
  </si>
  <si>
    <t>Min of actual_price</t>
  </si>
  <si>
    <t>Average of discount_percentage</t>
  </si>
  <si>
    <t>Max of discount_percentage2</t>
  </si>
  <si>
    <t>Min of discount_percentage3</t>
  </si>
  <si>
    <t>Average of rating</t>
  </si>
  <si>
    <t>Average of rating_count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</si>
</sst>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173" fontId="0" fillId="0" borderId="0" xfId="0" applyNumberFormat="1"/>
    <xf numFmtId="2" fontId="0" fillId="0" borderId="0" xfId="0" applyNumberFormat="1"/>
  </cellXfs>
  <cellStyles count="1">
    <cellStyle name="Normal" xfId="0" builtinId="0"/>
  </cellStyles>
  <dxfs count="43">
    <dxf>
      <numFmt numFmtId="2" formatCode="0.00"/>
    </dxf>
    <dxf>
      <numFmt numFmtId="2" formatCode="0.00"/>
    </dxf>
    <dxf>
      <numFmt numFmtId="2" formatCode="0.00"/>
    </dxf>
    <dxf>
      <numFmt numFmtId="2" formatCode="0.00"/>
    </dxf>
    <dxf>
      <numFmt numFmtId="2" formatCode="0.00"/>
    </dxf>
    <dxf>
      <numFmt numFmtId="174" formatCode="0.0"/>
    </dxf>
    <dxf>
      <numFmt numFmtId="2" formatCode="0.00"/>
    </dxf>
    <dxf>
      <numFmt numFmtId="1" formatCode="0"/>
    </dxf>
    <dxf>
      <numFmt numFmtId="173" formatCode="0.000"/>
    </dxf>
    <dxf>
      <numFmt numFmtId="2" formatCode="0.00"/>
    </dxf>
    <dxf>
      <numFmt numFmtId="172" formatCode="0.0000"/>
    </dxf>
    <dxf>
      <numFmt numFmtId="173" formatCode="0.000"/>
    </dxf>
    <dxf>
      <numFmt numFmtId="2" formatCode="0.00"/>
    </dxf>
    <dxf>
      <numFmt numFmtId="173" formatCode="0.000"/>
    </dxf>
    <dxf>
      <numFmt numFmtId="172" formatCode="0.0000"/>
    </dxf>
    <dxf>
      <numFmt numFmtId="172" formatCode="0.0000"/>
    </dxf>
    <dxf>
      <numFmt numFmtId="172" formatCode="0.0000"/>
    </dxf>
    <dxf>
      <numFmt numFmtId="173" formatCode="0.000"/>
    </dxf>
    <dxf>
      <numFmt numFmtId="172" formatCode="0.0000"/>
    </dxf>
    <dxf>
      <numFmt numFmtId="171" formatCode="0.00000"/>
    </dxf>
    <dxf>
      <numFmt numFmtId="171" formatCode="0.00000"/>
    </dxf>
    <dxf>
      <numFmt numFmtId="170" formatCode="0.000000"/>
    </dxf>
    <dxf>
      <numFmt numFmtId="170" formatCode="0.000000"/>
    </dxf>
    <dxf>
      <numFmt numFmtId="169" formatCode="0.0000000"/>
    </dxf>
    <dxf>
      <numFmt numFmtId="169" formatCode="0.0000000"/>
    </dxf>
    <dxf>
      <numFmt numFmtId="168" formatCode="0.00000000"/>
    </dxf>
    <dxf>
      <numFmt numFmtId="168" formatCode="0.00000000"/>
    </dxf>
    <dxf>
      <numFmt numFmtId="167" formatCode="0.000000000"/>
    </dxf>
    <dxf>
      <numFmt numFmtId="167" formatCode="0.000000000"/>
    </dxf>
    <dxf>
      <numFmt numFmtId="164" formatCode="0.0000000000"/>
    </dxf>
    <dxf>
      <numFmt numFmtId="164" formatCode="0.0000000000"/>
    </dxf>
    <dxf>
      <numFmt numFmtId="165" formatCode="0.00000000000"/>
    </dxf>
    <dxf>
      <numFmt numFmtId="165" formatCode="0.00000000000"/>
    </dxf>
    <dxf>
      <numFmt numFmtId="166" formatCode="0.000000000000"/>
    </dxf>
    <dxf>
      <numFmt numFmtId="166" formatCode="0.000000000000"/>
    </dxf>
    <dxf>
      <numFmt numFmtId="165" formatCode="0.00000000000"/>
    </dxf>
    <dxf>
      <numFmt numFmtId="165" formatCode="0.00000000000"/>
    </dxf>
    <dxf>
      <numFmt numFmtId="164" formatCode="0.0000000000"/>
    </dxf>
    <dxf>
      <numFmt numFmtId="164" formatCode="0.0000000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Sheet1!$B$35</c:f>
              <c:strCache>
                <c:ptCount val="1"/>
                <c:pt idx="0">
                  <c:v>Total</c:v>
                </c:pt>
              </c:strCache>
            </c:strRef>
          </c:tx>
          <c:spPr>
            <a:solidFill>
              <a:schemeClr val="accent1"/>
            </a:solidFill>
            <a:ln>
              <a:noFill/>
            </a:ln>
            <a:effectLst/>
          </c:spPr>
          <c:invertIfNegative val="0"/>
          <c:cat>
            <c:strRef>
              <c:f>Sheet1!$A$36:$A$45</c:f>
              <c:strCache>
                <c:ptCount val="9"/>
                <c:pt idx="0">
                  <c:v>Electronics</c:v>
                </c:pt>
                <c:pt idx="1">
                  <c:v>Home&amp;Kitchen</c:v>
                </c:pt>
                <c:pt idx="2">
                  <c:v>Car&amp;Motorbike</c:v>
                </c:pt>
                <c:pt idx="3">
                  <c:v>Health&amp;PersonalCare</c:v>
                </c:pt>
                <c:pt idx="4">
                  <c:v>Computers&amp;Accessories</c:v>
                </c:pt>
                <c:pt idx="5">
                  <c:v>MusicalInstruments</c:v>
                </c:pt>
                <c:pt idx="6">
                  <c:v>HomeImprovement</c:v>
                </c:pt>
                <c:pt idx="7">
                  <c:v>OfficeProducts</c:v>
                </c:pt>
                <c:pt idx="8">
                  <c:v>Toys&amp;Games</c:v>
                </c:pt>
              </c:strCache>
            </c:strRef>
          </c:cat>
          <c:val>
            <c:numRef>
              <c:f>Sheet1!$B$36:$B$45</c:f>
              <c:numCache>
                <c:formatCode>0.00</c:formatCode>
                <c:ptCount val="9"/>
                <c:pt idx="0">
                  <c:v>10418.083673469388</c:v>
                </c:pt>
                <c:pt idx="1">
                  <c:v>4162.0736607142853</c:v>
                </c:pt>
                <c:pt idx="2">
                  <c:v>4000</c:v>
                </c:pt>
                <c:pt idx="3">
                  <c:v>1900</c:v>
                </c:pt>
                <c:pt idx="4">
                  <c:v>1862.3501876675607</c:v>
                </c:pt>
                <c:pt idx="5">
                  <c:v>1347</c:v>
                </c:pt>
                <c:pt idx="6">
                  <c:v>799</c:v>
                </c:pt>
                <c:pt idx="7">
                  <c:v>397.19354838709677</c:v>
                </c:pt>
                <c:pt idx="8">
                  <c:v>150</c:v>
                </c:pt>
              </c:numCache>
            </c:numRef>
          </c:val>
          <c:extLst>
            <c:ext xmlns:c16="http://schemas.microsoft.com/office/drawing/2014/chart" uri="{C3380CC4-5D6E-409C-BE32-E72D297353CC}">
              <c16:uniqueId val="{00000000-EFF0-4800-8CA0-C58F86C9D0E7}"/>
            </c:ext>
          </c:extLst>
        </c:ser>
        <c:dLbls>
          <c:showLegendKey val="0"/>
          <c:showVal val="0"/>
          <c:showCatName val="0"/>
          <c:showSerName val="0"/>
          <c:showPercent val="0"/>
          <c:showBubbleSize val="0"/>
        </c:dLbls>
        <c:gapWidth val="219"/>
        <c:overlap val="-27"/>
        <c:axId val="1171272064"/>
        <c:axId val="1171273984"/>
      </c:barChart>
      <c:catAx>
        <c:axId val="117127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73984"/>
        <c:crosses val="autoZero"/>
        <c:auto val="1"/>
        <c:lblAlgn val="ctr"/>
        <c:lblOffset val="100"/>
        <c:noMultiLvlLbl val="0"/>
      </c:catAx>
      <c:valAx>
        <c:axId val="1171273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7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[amazon-sales.xlsx]Sheet1!PivotTable6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Sheet1!$B$48</c:f>
              <c:strCache>
                <c:ptCount val="1"/>
                <c:pt idx="0">
                  <c:v>Total</c:v>
                </c:pt>
              </c:strCache>
            </c:strRef>
          </c:tx>
          <c:spPr>
            <a:solidFill>
              <a:schemeClr val="accent1"/>
            </a:solidFill>
            <a:ln>
              <a:noFill/>
            </a:ln>
            <a:effectLst/>
          </c:spPr>
          <c:invertIfNegative val="0"/>
          <c:cat>
            <c:strRef>
              <c:f>Sheet1!$A$49:$A$58</c:f>
              <c:strCache>
                <c:ptCount val="9"/>
                <c:pt idx="0">
                  <c:v>OfficeProducts</c:v>
                </c:pt>
                <c:pt idx="1">
                  <c:v>Toys&amp;Games</c:v>
                </c:pt>
                <c:pt idx="2">
                  <c:v>HomeImprovement</c:v>
                </c:pt>
                <c:pt idx="3">
                  <c:v>Computers&amp;Accessories</c:v>
                </c:pt>
                <c:pt idx="4">
                  <c:v>Electronics</c:v>
                </c:pt>
                <c:pt idx="5">
                  <c:v>Home&amp;Kitchen</c:v>
                </c:pt>
                <c:pt idx="6">
                  <c:v>Health&amp;PersonalCare</c:v>
                </c:pt>
                <c:pt idx="7">
                  <c:v>MusicalInstruments</c:v>
                </c:pt>
                <c:pt idx="8">
                  <c:v>Car&amp;Motorbike</c:v>
                </c:pt>
              </c:strCache>
            </c:strRef>
          </c:cat>
          <c:val>
            <c:numRef>
              <c:f>Sheet1!$B$49:$B$58</c:f>
              <c:numCache>
                <c:formatCode>0.00</c:formatCode>
                <c:ptCount val="9"/>
                <c:pt idx="0">
                  <c:v>4.3096774193548377</c:v>
                </c:pt>
                <c:pt idx="1">
                  <c:v>4.3</c:v>
                </c:pt>
                <c:pt idx="2">
                  <c:v>4.25</c:v>
                </c:pt>
                <c:pt idx="3">
                  <c:v>4.154691689008037</c:v>
                </c:pt>
                <c:pt idx="4">
                  <c:v>4.077755102040812</c:v>
                </c:pt>
                <c:pt idx="5">
                  <c:v>4.0407158836689021</c:v>
                </c:pt>
                <c:pt idx="6">
                  <c:v>4</c:v>
                </c:pt>
                <c:pt idx="7">
                  <c:v>3.9</c:v>
                </c:pt>
                <c:pt idx="8">
                  <c:v>3.8</c:v>
                </c:pt>
              </c:numCache>
            </c:numRef>
          </c:val>
          <c:extLst>
            <c:ext xmlns:c16="http://schemas.microsoft.com/office/drawing/2014/chart" uri="{C3380CC4-5D6E-409C-BE32-E72D297353CC}">
              <c16:uniqueId val="{00000000-6A3E-4C20-9026-43B982A2FA44}"/>
            </c:ext>
          </c:extLst>
        </c:ser>
        <c:dLbls>
          <c:showLegendKey val="0"/>
          <c:showVal val="0"/>
          <c:showCatName val="0"/>
          <c:showSerName val="0"/>
          <c:showPercent val="0"/>
          <c:showBubbleSize val="0"/>
        </c:dLbls>
        <c:gapWidth val="219"/>
        <c:overlap val="-27"/>
        <c:axId val="1172799776"/>
        <c:axId val="1172796896"/>
      </c:barChart>
      <c:catAx>
        <c:axId val="117279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796896"/>
        <c:crosses val="autoZero"/>
        <c:auto val="1"/>
        <c:lblAlgn val="ctr"/>
        <c:lblOffset val="100"/>
        <c:noMultiLvlLbl val="0"/>
      </c:catAx>
      <c:valAx>
        <c:axId val="1172796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79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447675</xdr:colOff>
      <xdr:row>32</xdr:row>
      <xdr:rowOff>23812</xdr:rowOff>
    </xdr:from>
    <xdr:to>
      <xdr:col>7</xdr:col>
      <xdr:colOff>762000</xdr:colOff>
      <xdr:row>46</xdr:row>
      <xdr:rowOff>100012</xdr:rowOff>
    </xdr:to>
    <xdr:graphicFrame macro="">
      <xdr:nvGraphicFramePr>
        <xdr:cNvPr id="2" name="Chart 1">
          <a:extLst>
            <a:ext uri="{FF2B5EF4-FFF2-40B4-BE49-F238E27FC236}">
              <a16:creationId xmlns:a16="http://schemas.microsoft.com/office/drawing/2014/main" id="{9F35E959-86BC-06B5-43E0-FB568AD85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428625</xdr:colOff>
      <xdr:row>46</xdr:row>
      <xdr:rowOff>109537</xdr:rowOff>
    </xdr:from>
    <xdr:to>
      <xdr:col>7</xdr:col>
      <xdr:colOff>742950</xdr:colOff>
      <xdr:row>60</xdr:row>
      <xdr:rowOff>185737</xdr:rowOff>
    </xdr:to>
    <xdr:graphicFrame macro="">
      <xdr:nvGraphicFramePr>
        <xdr:cNvPr id="4" name="Chart 3">
          <a:extLst>
            <a:ext uri="{FF2B5EF4-FFF2-40B4-BE49-F238E27FC236}">
              <a16:creationId xmlns:a16="http://schemas.microsoft.com/office/drawing/2014/main" id="{8B9DAE50-FA30-8067-C0EA-B64FB8056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ol" refreshedDate="46037.602444097225" createdVersion="8" refreshedVersion="8" minRefreshableVersion="3" recordCount="1349" xr:uid="{9669F9E7-939E-4E86-93A5-CDE181800410}">
  <cacheSource type="worksheet">
    <worksheetSource name="amazon"/>
  </cacheSource>
  <cacheFields count="8">
    <cacheField name="product_id" numFmtId="0">
      <sharedItems count="1349">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5"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 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  Aramid fiber braided 1.2m cable with 4A Fast charging &amp; 480 MBPS data transmission, certified 10000+ bend lifespan, Metallic Grey"/>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ᶿ&amp;105ᶿ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ount="9">
        <s v="Computers&amp;Accessories"/>
        <s v="Electronics"/>
        <s v="MusicalInstruments"/>
        <s v="OfficeProducts"/>
        <s v="Home&amp;Kitchen"/>
        <s v="HomeImprovement"/>
        <s v="Toys&amp;Games"/>
        <s v="Car&amp;Motorbike"/>
        <s v="Health&amp;PersonalCare"/>
      </sharedItems>
    </cacheField>
    <cacheField name="subcategory" numFmtId="0">
      <sharedItems containsBlank="1" count="204">
        <s v="USBCables"/>
        <s v="WirelessUSBAdapters"/>
        <s v="HDMICables"/>
        <s v="SmartTelevisions"/>
        <s v="RemoteControls"/>
        <s v="StandardTelevisions"/>
        <s v="TVWall&amp;CeilingMounts"/>
        <s v="RCACables"/>
        <s v="Mounts"/>
        <s v="OpticalCables"/>
        <s v="Projectors"/>
        <s v="Adapters"/>
        <s v="SatelliteReceivers"/>
        <s v="DVICables"/>
        <s v="SpeakerCables"/>
        <s v="StreamingClients"/>
        <s v="AVReceivers&amp;Amplifiers"/>
        <s v="TowerSpeakers"/>
        <s v="3DGlasses"/>
        <s v="SmartWatches"/>
        <s v="PowerBanks"/>
        <s v="Smartphones"/>
        <s v="MicroSD"/>
        <s v="BasicMobiles"/>
        <s v="In-Ear"/>
        <s v="AutomobileChargers"/>
        <s v="Cradles"/>
        <s v="WallChargers"/>
        <s v="OTGAdapters"/>
        <s v="Tripods"/>
        <s v="SelfieSticks"/>
        <s v="Stands"/>
        <s v="CableConnectionProtectors"/>
        <s v="Décor"/>
        <s v="ScreenProtectors"/>
        <s v="StylusPens"/>
        <s v="Bedstand&amp;DeskMounts"/>
        <s v="BasicCases"/>
        <s v="HandlebarMounts"/>
        <s v="On-Ear"/>
        <s v="CameraPrivacyCovers"/>
        <s v="PhoneCharms"/>
        <s v="Shower&amp;WallMounts"/>
        <s v="PenDrives"/>
        <s v="Mice"/>
        <s v="GraphicTablets"/>
        <s v="Lapdesks"/>
        <s v="NotebookComputerStands"/>
        <s v="Keyboards"/>
        <s v="Condenser"/>
        <s v="DisposableBatteries"/>
        <s v="GelInkRollerballPens"/>
        <s v="Tape"/>
        <s v="Keyboard&amp;MouseSets"/>
        <s v="ExternalHardDisks"/>
        <s v="VideoCameras"/>
        <s v="Tabletop&amp;TravelTripods"/>
        <s v="Scientific"/>
        <s v="Repeaters&amp;Extenders"/>
        <s v="TripodLegs"/>
        <s v="InkjetInkCartridges"/>
        <s v="DustCovers"/>
        <s v="GamingMice"/>
        <s v="Paints"/>
        <s v="MousePads"/>
        <s v="HardDiskBags"/>
        <s v="Macro&amp;RinglightFlashes"/>
        <m/>
        <s v="Routers"/>
        <s v="Over-Ear"/>
        <s v="BluetoothSpeakers"/>
        <s v="WireboundNotebooks"/>
        <s v="RechargeableBatteries"/>
        <s v="BluetoothAdapters"/>
        <s v="USBtoUSBAdapters"/>
        <s v="CompleteTripodUnits"/>
        <s v="Notepads&amp;MemoBooks"/>
        <s v="Film"/>
        <s v="Lamps"/>
        <s v="CleaningKits"/>
        <s v="DomeCameras"/>
        <s v="Gamepads"/>
        <s v="Basic"/>
        <s v="USBHubs"/>
        <s v="PCMicrophones"/>
        <s v="OutdoorSpeakers"/>
        <s v="LaptopSleeves&amp;Slipcases"/>
        <s v="ExternalMemoryCardReaders"/>
        <s v="BottledInk"/>
        <s v="CompositionNotebooks"/>
        <s v="RetractableBallpointPens"/>
        <s v="EthernetCables"/>
        <s v="Memory"/>
        <s v="UninterruptedPowerSupplies"/>
        <s v="Cases"/>
        <s v="SecureDigitalCards"/>
        <s v="SelfieLights"/>
        <s v="Webcams"/>
        <s v="CoolingPads"/>
        <s v="LaptopAccessories"/>
        <s v="Adapters&amp;Multi-Outlets"/>
        <s v="ColouredPaper"/>
        <s v="InternalSolidStateDrives"/>
        <s v="MultimediaSpeakerSystems"/>
        <s v="DataCards&amp;Dongles"/>
        <s v="LaptopChargers&amp;PowerSupplies"/>
        <s v="PCSpeakers"/>
        <s v="BatteryChargers"/>
        <s v="StickBallpointPens"/>
        <s v="WoodenPencils"/>
        <s v="InternalHardDrives"/>
        <s v="Printers"/>
        <s v="Pens"/>
        <s v="SATACables"/>
        <s v="PCHeadsets"/>
        <s v="GamingKeyboards"/>
        <s v="SoundbarSpeakers"/>
        <s v="Earpads"/>
        <s v="InkjetPrinters"/>
        <s v="ColouringPens&amp;Markers"/>
        <s v="Headsets"/>
        <s v="ExternalSolidStateDrives"/>
        <s v="PowerLANAdapters"/>
        <s v="InkjetInkRefills&amp;Kits"/>
        <s v="Notebooks,WritingPads&amp;Diaries"/>
        <s v="BackgroundSupports"/>
        <s v="Financial&amp;Business"/>
        <s v="SurgeProtectors"/>
        <s v="CordManagement"/>
        <s v="PaintingMaterials"/>
        <s v="TonerCartridges"/>
        <s v="LiquidInkRollerballPens"/>
        <s v="FountainPens"/>
        <s v="Caddies"/>
        <s v="TraditionalLaptops"/>
        <s v="ElectricKettles"/>
        <s v="ElectricHeaters"/>
        <s v="FanHeaters"/>
        <s v="LintShavers"/>
        <s v="DigitalKitchenScales"/>
        <s v="Choppers"/>
        <s v="InductionCooktop"/>
        <s v="HandBlenders"/>
        <s v="DryIrons"/>
        <s v="MixerGrinders"/>
        <s v="InstantWaterHeaters"/>
        <s v="RoomHeaters"/>
        <s v="Kettle&amp;ToasterSets"/>
        <s v="StorageWaterHeaters"/>
        <s v="ImmersionRods"/>
        <s v="AirFryers"/>
        <s v="LaundryBaskets"/>
        <s v="SteamIrons"/>
        <s v="JuicerMixerGrinders"/>
        <s v="HandheldVacuums"/>
        <s v="EggBoilers"/>
        <s v="SandwichMakers"/>
        <s v="MiniFoodProcessors&amp;Choppers"/>
        <s v="DigitalScales"/>
        <s v="VacuumSealers"/>
        <s v="CeilingFans"/>
        <s v="CanisterVacuums"/>
        <s v="PressureWashers,Steam&amp;WindowCleaners"/>
        <s v="HalogenHeaters"/>
        <s v="Pop-upToasters"/>
        <s v="HeatConvectors"/>
        <s v="ElectricGrinders"/>
        <s v="ExhaustFans"/>
        <s v="DripCoffeeMachines"/>
        <s v="WaterPurifierAccessories"/>
        <s v="WaterCartridges"/>
        <s v="Rice&amp;PastaCookers"/>
        <s v="AirPurifiers&amp;Ionizers"/>
        <s v="Wet-DryVacuums"/>
        <s v="HEPAAirPurifiers"/>
        <s v="WaterFilters&amp;Purifiers"/>
        <s v="LaundryBags"/>
        <s v="Sewing&amp;EmbroideryMachines"/>
        <s v="SprayBottles"/>
        <s v="HandMixers"/>
        <s v="WetGrinders"/>
        <s v="OvenToasterGrills"/>
        <s v="Juicers"/>
        <s v="SmallKitchenAppliances"/>
        <s v="DigitalBathroomScales"/>
        <s v="EspressoMachines"/>
        <s v="TableFans"/>
        <s v="MilkFrothers"/>
        <s v="Humidifiers"/>
        <s v="StandMixerAccessories"/>
        <s v="RoboticVacuums"/>
        <s v="YogurtMakers"/>
        <s v="ColdPressJuicers"/>
        <s v="Split-SystemAirConditioners"/>
        <s v="SmallApplianceParts&amp;Accessories"/>
        <s v="WaffleMakers&amp;Irons"/>
        <s v="StovetopEspressoPots"/>
        <s v="MeasuringSpoons"/>
        <s v="CoffeePresses"/>
        <s v="RotiMakers"/>
        <s v="FanParts&amp;Accessories"/>
        <s v="StandMixers"/>
        <s v="PedestalFans"/>
        <s v="HandheldBags"/>
      </sharedItems>
    </cacheField>
    <cacheField name="actual_price" numFmtId="0">
      <sharedItems containsSemiMixedTypes="0" containsString="0" containsNumber="1" minValue="39" maxValue="139900"/>
    </cacheField>
    <cacheField name="discount_percentage" numFmtId="0">
      <sharedItems containsSemiMixedTypes="0" containsString="0" containsNumber="1" minValue="0" maxValue="0.94"/>
    </cacheField>
    <cacheField name="rating" numFmtId="0">
      <sharedItems containsString="0" containsBlank="1" containsNumber="1" minValue="2" maxValue="5"/>
    </cacheField>
    <cacheField name="rating_count" numFmtId="0">
      <sharedItems containsSemiMixedTypes="0" containsString="0" containsNumber="1" containsInteger="1" minValue="2" maxValue="4269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9">
  <r>
    <x v="0"/>
    <x v="0"/>
    <x v="0"/>
    <x v="0"/>
    <n v="1099"/>
    <n v="0.64"/>
    <n v="4.2"/>
    <n v="24269"/>
  </r>
  <r>
    <x v="1"/>
    <x v="1"/>
    <x v="0"/>
    <x v="0"/>
    <n v="349"/>
    <n v="0.43"/>
    <n v="4"/>
    <n v="43994"/>
  </r>
  <r>
    <x v="2"/>
    <x v="2"/>
    <x v="0"/>
    <x v="0"/>
    <n v="1899"/>
    <n v="0.9"/>
    <n v="3.9"/>
    <n v="7928"/>
  </r>
  <r>
    <x v="3"/>
    <x v="3"/>
    <x v="0"/>
    <x v="0"/>
    <n v="699"/>
    <n v="0.53"/>
    <n v="4.2"/>
    <n v="94363"/>
  </r>
  <r>
    <x v="4"/>
    <x v="4"/>
    <x v="0"/>
    <x v="0"/>
    <n v="399"/>
    <n v="0.61"/>
    <n v="4.2"/>
    <n v="16905"/>
  </r>
  <r>
    <x v="5"/>
    <x v="5"/>
    <x v="0"/>
    <x v="0"/>
    <n v="1000"/>
    <n v="0.85"/>
    <n v="3.9"/>
    <n v="24871"/>
  </r>
  <r>
    <x v="6"/>
    <x v="6"/>
    <x v="0"/>
    <x v="0"/>
    <n v="499"/>
    <n v="0.65"/>
    <n v="4.0999999999999996"/>
    <n v="15188"/>
  </r>
  <r>
    <x v="7"/>
    <x v="7"/>
    <x v="0"/>
    <x v="0"/>
    <n v="299"/>
    <n v="0.23"/>
    <n v="4.3"/>
    <n v="30411"/>
  </r>
  <r>
    <x v="8"/>
    <x v="8"/>
    <x v="0"/>
    <x v="1"/>
    <n v="999"/>
    <n v="0.5"/>
    <n v="4.2"/>
    <n v="179691"/>
  </r>
  <r>
    <x v="9"/>
    <x v="9"/>
    <x v="0"/>
    <x v="0"/>
    <n v="299"/>
    <n v="0.33"/>
    <n v="4"/>
    <n v="43994"/>
  </r>
  <r>
    <x v="10"/>
    <x v="10"/>
    <x v="0"/>
    <x v="0"/>
    <n v="339"/>
    <n v="0.55000000000000004"/>
    <n v="4.3"/>
    <n v="13391"/>
  </r>
  <r>
    <x v="11"/>
    <x v="11"/>
    <x v="0"/>
    <x v="0"/>
    <n v="799"/>
    <n v="0.63"/>
    <n v="4.2"/>
    <n v="94363"/>
  </r>
  <r>
    <x v="12"/>
    <x v="12"/>
    <x v="1"/>
    <x v="2"/>
    <n v="700"/>
    <n v="0.69"/>
    <n v="4.4000000000000004"/>
    <n v="426973"/>
  </r>
  <r>
    <x v="13"/>
    <x v="13"/>
    <x v="0"/>
    <x v="0"/>
    <n v="899"/>
    <n v="0.61"/>
    <n v="4.2"/>
    <n v="2262"/>
  </r>
  <r>
    <x v="14"/>
    <x v="14"/>
    <x v="0"/>
    <x v="0"/>
    <n v="399"/>
    <n v="0.6"/>
    <n v="4.0999999999999996"/>
    <n v="4768"/>
  </r>
  <r>
    <x v="15"/>
    <x v="15"/>
    <x v="0"/>
    <x v="0"/>
    <n v="399"/>
    <n v="0.13"/>
    <n v="4.4000000000000004"/>
    <n v="18757"/>
  </r>
  <r>
    <x v="16"/>
    <x v="16"/>
    <x v="1"/>
    <x v="3"/>
    <n v="24999"/>
    <n v="0.44"/>
    <n v="4.2"/>
    <n v="32840"/>
  </r>
  <r>
    <x v="17"/>
    <x v="17"/>
    <x v="0"/>
    <x v="0"/>
    <n v="399"/>
    <n v="0.38"/>
    <n v="4"/>
    <n v="43994"/>
  </r>
  <r>
    <x v="18"/>
    <x v="18"/>
    <x v="0"/>
    <x v="0"/>
    <n v="499"/>
    <n v="0.6"/>
    <n v="4.0999999999999996"/>
    <n v="13045"/>
  </r>
  <r>
    <x v="19"/>
    <x v="19"/>
    <x v="1"/>
    <x v="3"/>
    <n v="21990"/>
    <n v="0.39"/>
    <n v="4.3"/>
    <n v="11976"/>
  </r>
  <r>
    <x v="20"/>
    <x v="20"/>
    <x v="0"/>
    <x v="0"/>
    <n v="1799"/>
    <n v="0.46"/>
    <n v="4.5"/>
    <n v="815"/>
  </r>
  <r>
    <x v="21"/>
    <x v="21"/>
    <x v="1"/>
    <x v="2"/>
    <n v="499"/>
    <n v="0.44"/>
    <n v="3.7"/>
    <n v="10962"/>
  </r>
  <r>
    <x v="22"/>
    <x v="22"/>
    <x v="1"/>
    <x v="3"/>
    <n v="22900"/>
    <n v="0.41"/>
    <n v="4.3"/>
    <n v="16299"/>
  </r>
  <r>
    <x v="23"/>
    <x v="23"/>
    <x v="0"/>
    <x v="0"/>
    <n v="199"/>
    <n v="0.7"/>
    <n v="4"/>
    <n v="9378"/>
  </r>
  <r>
    <x v="24"/>
    <x v="24"/>
    <x v="1"/>
    <x v="3"/>
    <n v="19990"/>
    <n v="0.42"/>
    <n v="4.3"/>
    <n v="4703"/>
  </r>
  <r>
    <x v="25"/>
    <x v="25"/>
    <x v="1"/>
    <x v="2"/>
    <n v="699"/>
    <n v="0.72"/>
    <n v="4.2"/>
    <n v="12153"/>
  </r>
  <r>
    <x v="26"/>
    <x v="26"/>
    <x v="1"/>
    <x v="3"/>
    <n v="19999"/>
    <n v="0.25"/>
    <n v="4.2"/>
    <n v="34899"/>
  </r>
  <r>
    <x v="27"/>
    <x v="27"/>
    <x v="0"/>
    <x v="0"/>
    <n v="399"/>
    <n v="0.25"/>
    <n v="4"/>
    <n v="2766"/>
  </r>
  <r>
    <x v="28"/>
    <x v="28"/>
    <x v="0"/>
    <x v="0"/>
    <n v="1999"/>
    <n v="0.51"/>
    <n v="4.4000000000000004"/>
    <n v="184"/>
  </r>
  <r>
    <x v="29"/>
    <x v="29"/>
    <x v="0"/>
    <x v="0"/>
    <n v="999"/>
    <n v="0.7"/>
    <n v="4.3"/>
    <n v="20850"/>
  </r>
  <r>
    <x v="30"/>
    <x v="30"/>
    <x v="0"/>
    <x v="0"/>
    <n v="750"/>
    <n v="0.73"/>
    <n v="4.5"/>
    <n v="74976"/>
  </r>
  <r>
    <x v="31"/>
    <x v="31"/>
    <x v="0"/>
    <x v="0"/>
    <n v="499"/>
    <n v="0.64"/>
    <n v="4"/>
    <n v="1934"/>
  </r>
  <r>
    <x v="32"/>
    <x v="32"/>
    <x v="0"/>
    <x v="0"/>
    <n v="1099"/>
    <n v="0.65"/>
    <n v="4.3"/>
    <n v="974"/>
  </r>
  <r>
    <x v="33"/>
    <x v="33"/>
    <x v="0"/>
    <x v="0"/>
    <n v="599"/>
    <n v="0"/>
    <n v="4.3"/>
    <n v="355"/>
  </r>
  <r>
    <x v="34"/>
    <x v="34"/>
    <x v="0"/>
    <x v="0"/>
    <n v="999"/>
    <n v="0.8"/>
    <n v="3.9"/>
    <n v="1075"/>
  </r>
  <r>
    <x v="35"/>
    <x v="35"/>
    <x v="0"/>
    <x v="0"/>
    <n v="666.66"/>
    <n v="0.85"/>
    <n v="3.9"/>
    <n v="24871"/>
  </r>
  <r>
    <x v="36"/>
    <x v="36"/>
    <x v="0"/>
    <x v="0"/>
    <n v="1900"/>
    <n v="0.53"/>
    <n v="4.4000000000000004"/>
    <n v="13552"/>
  </r>
  <r>
    <x v="37"/>
    <x v="37"/>
    <x v="0"/>
    <x v="0"/>
    <n v="999"/>
    <n v="0.8"/>
    <n v="4"/>
    <n v="576"/>
  </r>
  <r>
    <x v="38"/>
    <x v="38"/>
    <x v="1"/>
    <x v="3"/>
    <n v="45999"/>
    <n v="0.28000000000000003"/>
    <n v="4.2"/>
    <n v="7298"/>
  </r>
  <r>
    <x v="39"/>
    <x v="39"/>
    <x v="0"/>
    <x v="0"/>
    <n v="1999"/>
    <n v="0.51"/>
    <n v="4.2"/>
    <n v="462"/>
  </r>
  <r>
    <x v="40"/>
    <x v="40"/>
    <x v="0"/>
    <x v="0"/>
    <n v="695"/>
    <n v="0.7"/>
    <n v="4.5"/>
    <n v="107687"/>
  </r>
  <r>
    <x v="41"/>
    <x v="41"/>
    <x v="1"/>
    <x v="3"/>
    <n v="34999"/>
    <n v="0.43"/>
    <n v="4.3"/>
    <n v="27151"/>
  </r>
  <r>
    <x v="42"/>
    <x v="42"/>
    <x v="0"/>
    <x v="0"/>
    <n v="1099"/>
    <n v="0.64"/>
    <n v="4.2"/>
    <n v="24269"/>
  </r>
  <r>
    <x v="43"/>
    <x v="43"/>
    <x v="0"/>
    <x v="1"/>
    <n v="1599"/>
    <n v="0.38"/>
    <n v="4.3"/>
    <n v="12093"/>
  </r>
  <r>
    <x v="44"/>
    <x v="44"/>
    <x v="0"/>
    <x v="0"/>
    <n v="199"/>
    <n v="0.7"/>
    <n v="4"/>
    <n v="9378"/>
  </r>
  <r>
    <x v="45"/>
    <x v="45"/>
    <x v="0"/>
    <x v="0"/>
    <n v="999"/>
    <n v="0.67"/>
    <n v="3.3"/>
    <n v="9792"/>
  </r>
  <r>
    <x v="46"/>
    <x v="46"/>
    <x v="0"/>
    <x v="1"/>
    <n v="1208"/>
    <n v="0.57999999999999996"/>
    <n v="4.0999999999999996"/>
    <n v="8131"/>
  </r>
  <r>
    <x v="47"/>
    <x v="47"/>
    <x v="1"/>
    <x v="2"/>
    <n v="475"/>
    <n v="0.35"/>
    <n v="4.4000000000000004"/>
    <n v="426973"/>
  </r>
  <r>
    <x v="48"/>
    <x v="48"/>
    <x v="1"/>
    <x v="4"/>
    <n v="999"/>
    <n v="0.6"/>
    <n v="3.6"/>
    <n v="493"/>
  </r>
  <r>
    <x v="49"/>
    <x v="49"/>
    <x v="0"/>
    <x v="0"/>
    <n v="395"/>
    <n v="0.5"/>
    <n v="4.2"/>
    <n v="92595"/>
  </r>
  <r>
    <x v="50"/>
    <x v="50"/>
    <x v="0"/>
    <x v="1"/>
    <n v="2199"/>
    <n v="0.45"/>
    <n v="4.4000000000000004"/>
    <n v="24780"/>
  </r>
  <r>
    <x v="51"/>
    <x v="51"/>
    <x v="0"/>
    <x v="0"/>
    <n v="500"/>
    <n v="0.64"/>
    <n v="4.2"/>
    <n v="92595"/>
  </r>
  <r>
    <x v="52"/>
    <x v="52"/>
    <x v="0"/>
    <x v="0"/>
    <n v="2100"/>
    <n v="0.62"/>
    <n v="4.3"/>
    <n v="8188"/>
  </r>
  <r>
    <x v="53"/>
    <x v="53"/>
    <x v="1"/>
    <x v="5"/>
    <n v="12999"/>
    <n v="0.46"/>
    <n v="4.2"/>
    <n v="4003"/>
  </r>
  <r>
    <x v="54"/>
    <x v="54"/>
    <x v="0"/>
    <x v="0"/>
    <n v="349"/>
    <n v="0.43"/>
    <n v="4.0999999999999996"/>
    <n v="314"/>
  </r>
  <r>
    <x v="55"/>
    <x v="55"/>
    <x v="1"/>
    <x v="4"/>
    <n v="499"/>
    <n v="0.54"/>
    <n v="3.7"/>
    <n v="2960"/>
  </r>
  <r>
    <x v="56"/>
    <x v="56"/>
    <x v="0"/>
    <x v="1"/>
    <n v="1399"/>
    <n v="0.54"/>
    <n v="4.2"/>
    <n v="179691"/>
  </r>
  <r>
    <x v="57"/>
    <x v="57"/>
    <x v="1"/>
    <x v="3"/>
    <n v="21999"/>
    <n v="0.27"/>
    <n v="4.2"/>
    <n v="34899"/>
  </r>
  <r>
    <x v="58"/>
    <x v="58"/>
    <x v="0"/>
    <x v="0"/>
    <n v="1499"/>
    <n v="0.77"/>
    <n v="4.2"/>
    <n v="656"/>
  </r>
  <r>
    <x v="59"/>
    <x v="59"/>
    <x v="0"/>
    <x v="0"/>
    <n v="349"/>
    <n v="0.56000000000000005"/>
    <n v="4.3"/>
    <n v="7064"/>
  </r>
  <r>
    <x v="60"/>
    <x v="60"/>
    <x v="1"/>
    <x v="4"/>
    <n v="799"/>
    <n v="0.78"/>
    <n v="3.7"/>
    <n v="2201"/>
  </r>
  <r>
    <x v="61"/>
    <x v="61"/>
    <x v="1"/>
    <x v="3"/>
    <n v="47900"/>
    <n v="0.31"/>
    <n v="4.3"/>
    <n v="7109"/>
  </r>
  <r>
    <x v="62"/>
    <x v="62"/>
    <x v="0"/>
    <x v="0"/>
    <n v="999"/>
    <n v="0.86"/>
    <n v="4"/>
    <n v="1313"/>
  </r>
  <r>
    <x v="63"/>
    <x v="63"/>
    <x v="0"/>
    <x v="0"/>
    <n v="845"/>
    <n v="0.61"/>
    <n v="4.2"/>
    <n v="29746"/>
  </r>
  <r>
    <x v="64"/>
    <x v="64"/>
    <x v="1"/>
    <x v="3"/>
    <n v="24999"/>
    <n v="0.44"/>
    <n v="4.2"/>
    <n v="45238"/>
  </r>
  <r>
    <x v="65"/>
    <x v="65"/>
    <x v="1"/>
    <x v="2"/>
    <n v="1400"/>
    <n v="0.78"/>
    <n v="4.4000000000000004"/>
    <n v="426973"/>
  </r>
  <r>
    <x v="66"/>
    <x v="66"/>
    <x v="0"/>
    <x v="0"/>
    <n v="699"/>
    <n v="0.62"/>
    <n v="4.0999999999999996"/>
    <n v="450"/>
  </r>
  <r>
    <x v="67"/>
    <x v="67"/>
    <x v="1"/>
    <x v="5"/>
    <n v="14990"/>
    <n v="0.47"/>
    <n v="4.3"/>
    <n v="457"/>
  </r>
  <r>
    <x v="68"/>
    <x v="68"/>
    <x v="1"/>
    <x v="6"/>
    <n v="2999"/>
    <n v="0.47"/>
    <n v="4.2"/>
    <n v="2727"/>
  </r>
  <r>
    <x v="69"/>
    <x v="69"/>
    <x v="0"/>
    <x v="0"/>
    <n v="700"/>
    <n v="0.69"/>
    <n v="4.3"/>
    <n v="20053"/>
  </r>
  <r>
    <x v="70"/>
    <x v="70"/>
    <x v="0"/>
    <x v="0"/>
    <n v="899"/>
    <n v="0.61"/>
    <n v="4.5"/>
    <n v="149"/>
  </r>
  <r>
    <x v="71"/>
    <x v="71"/>
    <x v="0"/>
    <x v="0"/>
    <n v="599"/>
    <n v="0.42"/>
    <n v="4.0999999999999996"/>
    <n v="210"/>
  </r>
  <r>
    <x v="72"/>
    <x v="72"/>
    <x v="1"/>
    <x v="3"/>
    <n v="42999"/>
    <n v="0.37"/>
    <n v="4.2"/>
    <n v="45238"/>
  </r>
  <r>
    <x v="73"/>
    <x v="73"/>
    <x v="0"/>
    <x v="0"/>
    <n v="499"/>
    <n v="0.77"/>
    <n v="4"/>
    <n v="7732"/>
  </r>
  <r>
    <x v="74"/>
    <x v="74"/>
    <x v="0"/>
    <x v="0"/>
    <n v="999"/>
    <n v="0.6"/>
    <n v="4.0999999999999996"/>
    <n v="1780"/>
  </r>
  <r>
    <x v="75"/>
    <x v="75"/>
    <x v="0"/>
    <x v="0"/>
    <n v="499"/>
    <n v="0.6"/>
    <n v="4.0999999999999996"/>
    <n v="602"/>
  </r>
  <r>
    <x v="76"/>
    <x v="76"/>
    <x v="0"/>
    <x v="0"/>
    <n v="399"/>
    <n v="0.55000000000000004"/>
    <n v="4"/>
    <n v="1423"/>
  </r>
  <r>
    <x v="77"/>
    <x v="77"/>
    <x v="1"/>
    <x v="3"/>
    <n v="30990"/>
    <n v="0.65"/>
    <n v="4.0999999999999996"/>
    <n v="398"/>
  </r>
  <r>
    <x v="78"/>
    <x v="78"/>
    <x v="0"/>
    <x v="0"/>
    <n v="499"/>
    <n v="0.57999999999999996"/>
    <n v="3.9"/>
    <n v="536"/>
  </r>
  <r>
    <x v="79"/>
    <x v="79"/>
    <x v="1"/>
    <x v="4"/>
    <n v="3999"/>
    <n v="0.64"/>
    <n v="4"/>
    <n v="32"/>
  </r>
  <r>
    <x v="80"/>
    <x v="80"/>
    <x v="0"/>
    <x v="0"/>
    <n v="1099"/>
    <n v="0.64"/>
    <n v="4.2"/>
    <n v="24269"/>
  </r>
  <r>
    <x v="81"/>
    <x v="81"/>
    <x v="0"/>
    <x v="0"/>
    <n v="249"/>
    <n v="0.44"/>
    <n v="4"/>
    <n v="9378"/>
  </r>
  <r>
    <x v="82"/>
    <x v="82"/>
    <x v="1"/>
    <x v="3"/>
    <n v="19125"/>
    <n v="0.62"/>
    <n v="3.4"/>
    <n v="902"/>
  </r>
  <r>
    <x v="83"/>
    <x v="83"/>
    <x v="0"/>
    <x v="0"/>
    <n v="799"/>
    <n v="0.63"/>
    <n v="4.4000000000000004"/>
    <n v="28791"/>
  </r>
  <r>
    <x v="84"/>
    <x v="84"/>
    <x v="0"/>
    <x v="0"/>
    <n v="1299"/>
    <n v="0.75"/>
    <n v="4.2"/>
    <n v="10576"/>
  </r>
  <r>
    <x v="85"/>
    <x v="85"/>
    <x v="1"/>
    <x v="3"/>
    <n v="39999"/>
    <n v="0.25"/>
    <n v="4.2"/>
    <n v="7298"/>
  </r>
  <r>
    <x v="86"/>
    <x v="86"/>
    <x v="1"/>
    <x v="3"/>
    <n v="40990"/>
    <n v="0.32"/>
    <n v="4.3"/>
    <n v="4703"/>
  </r>
  <r>
    <x v="87"/>
    <x v="87"/>
    <x v="1"/>
    <x v="3"/>
    <n v="52900"/>
    <n v="0.41"/>
    <n v="4.3"/>
    <n v="7109"/>
  </r>
  <r>
    <x v="88"/>
    <x v="88"/>
    <x v="0"/>
    <x v="0"/>
    <n v="999"/>
    <n v="0.8"/>
    <n v="4.5"/>
    <n v="127"/>
  </r>
  <r>
    <x v="89"/>
    <x v="89"/>
    <x v="0"/>
    <x v="0"/>
    <n v="1999"/>
    <n v="0.68"/>
    <n v="4.2"/>
    <n v="24269"/>
  </r>
  <r>
    <x v="90"/>
    <x v="90"/>
    <x v="0"/>
    <x v="1"/>
    <n v="800"/>
    <n v="0.66"/>
    <n v="3.6"/>
    <n v="10134"/>
  </r>
  <r>
    <x v="91"/>
    <x v="91"/>
    <x v="1"/>
    <x v="3"/>
    <n v="31999"/>
    <n v="0.22"/>
    <n v="4.2"/>
    <n v="34899"/>
  </r>
  <r>
    <x v="92"/>
    <x v="92"/>
    <x v="0"/>
    <x v="0"/>
    <n v="699"/>
    <n v="0.56999999999999995"/>
    <n v="4.2"/>
    <n v="94363"/>
  </r>
  <r>
    <x v="93"/>
    <x v="93"/>
    <x v="0"/>
    <x v="0"/>
    <n v="999"/>
    <n v="0.8"/>
    <n v="4.0999999999999996"/>
    <n v="425"/>
  </r>
  <r>
    <x v="94"/>
    <x v="94"/>
    <x v="1"/>
    <x v="3"/>
    <n v="40990"/>
    <n v="0.54"/>
    <n v="4.2"/>
    <n v="6659"/>
  </r>
  <r>
    <x v="95"/>
    <x v="95"/>
    <x v="0"/>
    <x v="1"/>
    <n v="349"/>
    <n v="0.17"/>
    <n v="3.7"/>
    <n v="1977"/>
  </r>
  <r>
    <x v="96"/>
    <x v="96"/>
    <x v="1"/>
    <x v="4"/>
    <n v="799"/>
    <n v="0.69"/>
    <n v="3.8"/>
    <n v="1079"/>
  </r>
  <r>
    <x v="97"/>
    <x v="97"/>
    <x v="0"/>
    <x v="0"/>
    <n v="999"/>
    <n v="0.65"/>
    <n v="3.7"/>
    <n v="1097"/>
  </r>
  <r>
    <x v="98"/>
    <x v="98"/>
    <x v="0"/>
    <x v="1"/>
    <n v="1899"/>
    <n v="0.42"/>
    <n v="4.5"/>
    <n v="22420"/>
  </r>
  <r>
    <x v="99"/>
    <x v="99"/>
    <x v="0"/>
    <x v="0"/>
    <n v="1499"/>
    <n v="0.52"/>
    <n v="4.0999999999999996"/>
    <n v="1045"/>
  </r>
  <r>
    <x v="100"/>
    <x v="100"/>
    <x v="1"/>
    <x v="4"/>
    <n v="1499"/>
    <n v="0.77"/>
    <n v="4.3"/>
    <n v="4145"/>
  </r>
  <r>
    <x v="101"/>
    <x v="101"/>
    <x v="0"/>
    <x v="0"/>
    <n v="1809"/>
    <n v="0.53"/>
    <n v="4.3"/>
    <n v="6547"/>
  </r>
  <r>
    <x v="102"/>
    <x v="102"/>
    <x v="1"/>
    <x v="4"/>
    <n v="899"/>
    <n v="0.67"/>
    <n v="4"/>
    <n v="1588"/>
  </r>
  <r>
    <x v="103"/>
    <x v="103"/>
    <x v="1"/>
    <x v="3"/>
    <n v="29999"/>
    <n v="0.27"/>
    <n v="4.2"/>
    <n v="32840"/>
  </r>
  <r>
    <x v="104"/>
    <x v="104"/>
    <x v="0"/>
    <x v="0"/>
    <n v="999"/>
    <n v="0.65"/>
    <n v="4.2"/>
    <n v="13120"/>
  </r>
  <r>
    <x v="105"/>
    <x v="105"/>
    <x v="0"/>
    <x v="0"/>
    <n v="999"/>
    <n v="0.6"/>
    <n v="4.3"/>
    <n v="2806"/>
  </r>
  <r>
    <x v="106"/>
    <x v="106"/>
    <x v="0"/>
    <x v="0"/>
    <n v="1299"/>
    <n v="0.65"/>
    <n v="4.2"/>
    <n v="24269"/>
  </r>
  <r>
    <x v="107"/>
    <x v="107"/>
    <x v="0"/>
    <x v="0"/>
    <n v="999"/>
    <n v="0.7"/>
    <n v="4.3"/>
    <n v="766"/>
  </r>
  <r>
    <x v="108"/>
    <x v="108"/>
    <x v="1"/>
    <x v="3"/>
    <n v="65000"/>
    <n v="0.42"/>
    <n v="4.3"/>
    <n v="3587"/>
  </r>
  <r>
    <x v="109"/>
    <x v="109"/>
    <x v="0"/>
    <x v="0"/>
    <n v="800"/>
    <n v="0.88"/>
    <n v="3.9"/>
    <n v="24871"/>
  </r>
  <r>
    <x v="110"/>
    <x v="110"/>
    <x v="1"/>
    <x v="5"/>
    <n v="20000"/>
    <n v="0.63"/>
    <n v="4.0999999999999996"/>
    <n v="2581"/>
  </r>
  <r>
    <x v="111"/>
    <x v="111"/>
    <x v="0"/>
    <x v="0"/>
    <n v="999"/>
    <n v="0.73"/>
    <n v="4.3"/>
    <n v="20850"/>
  </r>
  <r>
    <x v="112"/>
    <x v="112"/>
    <x v="1"/>
    <x v="3"/>
    <n v="23990"/>
    <n v="0.33"/>
    <n v="4.3"/>
    <n v="1035"/>
  </r>
  <r>
    <x v="113"/>
    <x v="113"/>
    <x v="0"/>
    <x v="0"/>
    <n v="999"/>
    <n v="0.6"/>
    <n v="4.0999999999999996"/>
    <n v="1780"/>
  </r>
  <r>
    <x v="114"/>
    <x v="114"/>
    <x v="1"/>
    <x v="4"/>
    <n v="1999"/>
    <n v="0.8"/>
    <n v="4.5"/>
    <n v="505"/>
  </r>
  <r>
    <x v="115"/>
    <x v="115"/>
    <x v="0"/>
    <x v="0"/>
    <n v="399"/>
    <n v="0.47"/>
    <n v="4.0999999999999996"/>
    <n v="1717"/>
  </r>
  <r>
    <x v="116"/>
    <x v="116"/>
    <x v="1"/>
    <x v="4"/>
    <n v="1999"/>
    <n v="0.35"/>
    <n v="3.6"/>
    <n v="590"/>
  </r>
  <r>
    <x v="117"/>
    <x v="117"/>
    <x v="0"/>
    <x v="0"/>
    <n v="999"/>
    <n v="0.65"/>
    <n v="3.5"/>
    <n v="1121"/>
  </r>
  <r>
    <x v="118"/>
    <x v="118"/>
    <x v="0"/>
    <x v="0"/>
    <n v="999"/>
    <n v="0.85"/>
    <n v="4"/>
    <n v="1313"/>
  </r>
  <r>
    <x v="119"/>
    <x v="119"/>
    <x v="0"/>
    <x v="0"/>
    <n v="899"/>
    <n v="0.75"/>
    <n v="3.8"/>
    <n v="132"/>
  </r>
  <r>
    <x v="120"/>
    <x v="120"/>
    <x v="0"/>
    <x v="0"/>
    <n v="1999"/>
    <n v="0.2"/>
    <n v="4.4000000000000004"/>
    <n v="1951"/>
  </r>
  <r>
    <x v="121"/>
    <x v="121"/>
    <x v="1"/>
    <x v="4"/>
    <n v="3999"/>
    <n v="0.63"/>
    <n v="3.7"/>
    <n v="37"/>
  </r>
  <r>
    <x v="122"/>
    <x v="122"/>
    <x v="1"/>
    <x v="3"/>
    <n v="15999"/>
    <n v="0.47"/>
    <n v="4.3"/>
    <n v="592"/>
  </r>
  <r>
    <x v="123"/>
    <x v="123"/>
    <x v="1"/>
    <x v="3"/>
    <n v="44990"/>
    <n v="0.53"/>
    <n v="4.0999999999999996"/>
    <n v="1259"/>
  </r>
  <r>
    <x v="124"/>
    <x v="124"/>
    <x v="1"/>
    <x v="3"/>
    <n v="44999"/>
    <n v="0.27"/>
    <n v="4.2"/>
    <n v="45238"/>
  </r>
  <r>
    <x v="125"/>
    <x v="125"/>
    <x v="1"/>
    <x v="2"/>
    <n v="1700"/>
    <n v="0.53"/>
    <n v="4.0999999999999996"/>
    <n v="28638"/>
  </r>
  <r>
    <x v="126"/>
    <x v="126"/>
    <x v="1"/>
    <x v="2"/>
    <n v="595"/>
    <n v="0.62"/>
    <n v="4.3"/>
    <n v="12835"/>
  </r>
  <r>
    <x v="127"/>
    <x v="127"/>
    <x v="1"/>
    <x v="3"/>
    <n v="27990"/>
    <n v="0.64"/>
    <n v="4.2"/>
    <n v="1269"/>
  </r>
  <r>
    <x v="128"/>
    <x v="128"/>
    <x v="1"/>
    <x v="4"/>
    <n v="599"/>
    <n v="0.42"/>
    <n v="4.2"/>
    <n v="284"/>
  </r>
  <r>
    <x v="129"/>
    <x v="129"/>
    <x v="1"/>
    <x v="7"/>
    <n v="1200"/>
    <n v="0.59"/>
    <n v="4.4000000000000004"/>
    <n v="69538"/>
  </r>
  <r>
    <x v="130"/>
    <x v="130"/>
    <x v="1"/>
    <x v="3"/>
    <n v="34990"/>
    <n v="0.31"/>
    <n v="4.3"/>
    <n v="4703"/>
  </r>
  <r>
    <x v="131"/>
    <x v="131"/>
    <x v="0"/>
    <x v="0"/>
    <n v="999"/>
    <n v="0.6"/>
    <n v="4.3"/>
    <n v="2806"/>
  </r>
  <r>
    <x v="132"/>
    <x v="132"/>
    <x v="1"/>
    <x v="8"/>
    <n v="1299"/>
    <n v="0.73"/>
    <n v="4"/>
    <n v="3295"/>
  </r>
  <r>
    <x v="133"/>
    <x v="133"/>
    <x v="0"/>
    <x v="0"/>
    <n v="299"/>
    <n v="0.4"/>
    <n v="3.9"/>
    <n v="81"/>
  </r>
  <r>
    <x v="134"/>
    <x v="134"/>
    <x v="0"/>
    <x v="0"/>
    <n v="1500"/>
    <n v="0.54"/>
    <n v="4.2"/>
    <n v="42301"/>
  </r>
  <r>
    <x v="135"/>
    <x v="135"/>
    <x v="1"/>
    <x v="3"/>
    <n v="49990"/>
    <n v="0.38"/>
    <n v="4.3"/>
    <n v="1376"/>
  </r>
  <r>
    <x v="136"/>
    <x v="136"/>
    <x v="0"/>
    <x v="0"/>
    <n v="931"/>
    <n v="0.73"/>
    <n v="3.9"/>
    <n v="1075"/>
  </r>
  <r>
    <x v="137"/>
    <x v="137"/>
    <x v="1"/>
    <x v="2"/>
    <n v="2399"/>
    <n v="0.57999999999999996"/>
    <n v="4.5999999999999996"/>
    <n v="3664"/>
  </r>
  <r>
    <x v="138"/>
    <x v="138"/>
    <x v="1"/>
    <x v="4"/>
    <n v="399"/>
    <n v="0"/>
    <n v="3.9"/>
    <n v="1951"/>
  </r>
  <r>
    <x v="139"/>
    <x v="139"/>
    <x v="0"/>
    <x v="0"/>
    <n v="699"/>
    <n v="0.5"/>
    <n v="4.3"/>
    <n v="20850"/>
  </r>
  <r>
    <x v="140"/>
    <x v="140"/>
    <x v="0"/>
    <x v="0"/>
    <n v="1099"/>
    <n v="0.64"/>
    <n v="4.0999999999999996"/>
    <n v="2685"/>
  </r>
  <r>
    <x v="141"/>
    <x v="141"/>
    <x v="0"/>
    <x v="1"/>
    <n v="2999"/>
    <n v="0.43"/>
    <n v="4.4000000000000004"/>
    <n v="24780"/>
  </r>
  <r>
    <x v="142"/>
    <x v="142"/>
    <x v="1"/>
    <x v="4"/>
    <n v="1099"/>
    <n v="0.4"/>
    <n v="3.2"/>
    <n v="285"/>
  </r>
  <r>
    <x v="143"/>
    <x v="143"/>
    <x v="0"/>
    <x v="1"/>
    <n v="1339"/>
    <n v="0.44"/>
    <n v="4.2"/>
    <n v="179692"/>
  </r>
  <r>
    <x v="144"/>
    <x v="144"/>
    <x v="1"/>
    <x v="3"/>
    <n v="12999"/>
    <n v="0.23"/>
    <n v="4.2"/>
    <n v="6088"/>
  </r>
  <r>
    <x v="145"/>
    <x v="145"/>
    <x v="1"/>
    <x v="4"/>
    <n v="499"/>
    <n v="0.61"/>
    <n v="3.7"/>
    <n v="1383"/>
  </r>
  <r>
    <x v="146"/>
    <x v="146"/>
    <x v="0"/>
    <x v="0"/>
    <n v="2100"/>
    <n v="0.52"/>
    <n v="4.5"/>
    <n v="5492"/>
  </r>
  <r>
    <x v="147"/>
    <x v="147"/>
    <x v="0"/>
    <x v="0"/>
    <n v="899"/>
    <n v="0.44"/>
    <n v="4.2"/>
    <n v="919"/>
  </r>
  <r>
    <x v="148"/>
    <x v="148"/>
    <x v="1"/>
    <x v="9"/>
    <n v="599"/>
    <n v="0.31"/>
    <n v="4.2"/>
    <n v="30023"/>
  </r>
  <r>
    <x v="149"/>
    <x v="149"/>
    <x v="0"/>
    <x v="0"/>
    <n v="699"/>
    <n v="0.47"/>
    <n v="4.2"/>
    <n v="387"/>
  </r>
  <r>
    <x v="150"/>
    <x v="150"/>
    <x v="1"/>
    <x v="3"/>
    <n v="65000"/>
    <n v="0.54"/>
    <n v="4.0999999999999996"/>
    <n v="211"/>
  </r>
  <r>
    <x v="151"/>
    <x v="151"/>
    <x v="0"/>
    <x v="0"/>
    <n v="1099"/>
    <n v="0.69"/>
    <n v="4.3"/>
    <n v="974"/>
  </r>
  <r>
    <x v="152"/>
    <x v="152"/>
    <x v="1"/>
    <x v="3"/>
    <n v="20900"/>
    <n v="0.26"/>
    <n v="4.3"/>
    <n v="16299"/>
  </r>
  <r>
    <x v="153"/>
    <x v="153"/>
    <x v="0"/>
    <x v="0"/>
    <n v="1299"/>
    <n v="0.62"/>
    <n v="4.3"/>
    <n v="30411"/>
  </r>
  <r>
    <x v="154"/>
    <x v="154"/>
    <x v="0"/>
    <x v="1"/>
    <n v="399"/>
    <n v="0.38"/>
    <n v="3.4"/>
    <n v="4642"/>
  </r>
  <r>
    <x v="155"/>
    <x v="155"/>
    <x v="1"/>
    <x v="4"/>
    <n v="799"/>
    <n v="0.5"/>
    <n v="4.3"/>
    <n v="12"/>
  </r>
  <r>
    <x v="156"/>
    <x v="156"/>
    <x v="0"/>
    <x v="0"/>
    <n v="1999"/>
    <n v="0.25"/>
    <n v="4.4000000000000004"/>
    <n v="1951"/>
  </r>
  <r>
    <x v="157"/>
    <x v="157"/>
    <x v="1"/>
    <x v="10"/>
    <n v="15990"/>
    <n v="0.41"/>
    <n v="3.9"/>
    <n v="10480"/>
  </r>
  <r>
    <x v="158"/>
    <x v="158"/>
    <x v="1"/>
    <x v="2"/>
    <n v="1499"/>
    <n v="0.57999999999999996"/>
    <n v="4.0999999999999996"/>
    <n v="24"/>
  </r>
  <r>
    <x v="159"/>
    <x v="159"/>
    <x v="1"/>
    <x v="4"/>
    <n v="899"/>
    <n v="0.56000000000000005"/>
    <n v="3.9"/>
    <n v="254"/>
  </r>
  <r>
    <x v="160"/>
    <x v="160"/>
    <x v="1"/>
    <x v="9"/>
    <n v="1600"/>
    <n v="0.32"/>
    <n v="4"/>
    <n v="3565"/>
  </r>
  <r>
    <x v="161"/>
    <x v="161"/>
    <x v="0"/>
    <x v="0"/>
    <n v="999"/>
    <n v="0.66"/>
    <n v="4.3"/>
    <n v="6255"/>
  </r>
  <r>
    <x v="162"/>
    <x v="162"/>
    <x v="0"/>
    <x v="0"/>
    <n v="499"/>
    <n v="0.7"/>
    <n v="4"/>
    <n v="7732"/>
  </r>
  <r>
    <x v="163"/>
    <x v="163"/>
    <x v="0"/>
    <x v="0"/>
    <n v="399"/>
    <n v="0.63"/>
    <n v="3.9"/>
    <n v="57"/>
  </r>
  <r>
    <x v="164"/>
    <x v="164"/>
    <x v="0"/>
    <x v="0"/>
    <n v="849"/>
    <n v="0.28999999999999998"/>
    <n v="4.5"/>
    <n v="577"/>
  </r>
  <r>
    <x v="165"/>
    <x v="165"/>
    <x v="1"/>
    <x v="4"/>
    <n v="1199"/>
    <n v="0.75"/>
    <n v="3.9"/>
    <n v="1193"/>
  </r>
  <r>
    <x v="166"/>
    <x v="166"/>
    <x v="0"/>
    <x v="0"/>
    <n v="1299"/>
    <n v="0.69"/>
    <n v="4.2"/>
    <n v="13120"/>
  </r>
  <r>
    <x v="167"/>
    <x v="167"/>
    <x v="1"/>
    <x v="4"/>
    <n v="1999"/>
    <n v="0.83"/>
    <n v="4"/>
    <n v="343"/>
  </r>
  <r>
    <x v="168"/>
    <x v="168"/>
    <x v="1"/>
    <x v="3"/>
    <n v="22990"/>
    <n v="0.46"/>
    <n v="4.3"/>
    <n v="1611"/>
  </r>
  <r>
    <x v="169"/>
    <x v="169"/>
    <x v="0"/>
    <x v="0"/>
    <n v="399"/>
    <n v="0.38"/>
    <n v="4"/>
    <n v="6558"/>
  </r>
  <r>
    <x v="170"/>
    <x v="170"/>
    <x v="0"/>
    <x v="1"/>
    <n v="2499"/>
    <n v="0.44"/>
    <n v="4.4000000000000004"/>
    <n v="23169"/>
  </r>
  <r>
    <x v="171"/>
    <x v="171"/>
    <x v="1"/>
    <x v="3"/>
    <n v="47990"/>
    <n v="0.31"/>
    <n v="4.3"/>
    <n v="4703"/>
  </r>
  <r>
    <x v="172"/>
    <x v="172"/>
    <x v="0"/>
    <x v="0"/>
    <n v="399"/>
    <n v="0.63"/>
    <n v="4"/>
    <n v="1423"/>
  </r>
  <r>
    <x v="173"/>
    <x v="173"/>
    <x v="0"/>
    <x v="0"/>
    <n v="999"/>
    <n v="0.67"/>
    <n v="4.3"/>
    <n v="2651"/>
  </r>
  <r>
    <x v="174"/>
    <x v="174"/>
    <x v="0"/>
    <x v="0"/>
    <n v="1999"/>
    <n v="0.8"/>
    <n v="5"/>
    <n v="5"/>
  </r>
  <r>
    <x v="175"/>
    <x v="175"/>
    <x v="0"/>
    <x v="1"/>
    <n v="499"/>
    <n v="0.6"/>
    <n v="3.7"/>
    <n v="612"/>
  </r>
  <r>
    <x v="176"/>
    <x v="176"/>
    <x v="0"/>
    <x v="0"/>
    <n v="299"/>
    <n v="0.71"/>
    <n v="4"/>
    <n v="9378"/>
  </r>
  <r>
    <x v="177"/>
    <x v="177"/>
    <x v="0"/>
    <x v="0"/>
    <n v="1099"/>
    <n v="0.64"/>
    <n v="4.0999999999999996"/>
    <n v="2685"/>
  </r>
  <r>
    <x v="178"/>
    <x v="178"/>
    <x v="0"/>
    <x v="0"/>
    <n v="199"/>
    <n v="0.71"/>
    <n v="4"/>
    <n v="9378"/>
  </r>
  <r>
    <x v="179"/>
    <x v="179"/>
    <x v="1"/>
    <x v="4"/>
    <n v="1999"/>
    <n v="0.6"/>
    <n v="3.3"/>
    <n v="576"/>
  </r>
  <r>
    <x v="180"/>
    <x v="180"/>
    <x v="1"/>
    <x v="4"/>
    <n v="499"/>
    <n v="0.59"/>
    <n v="3.8"/>
    <n v="313"/>
  </r>
  <r>
    <x v="181"/>
    <x v="181"/>
    <x v="0"/>
    <x v="0"/>
    <n v="699"/>
    <n v="0.56999999999999995"/>
    <n v="4.0999999999999996"/>
    <n v="2957"/>
  </r>
  <r>
    <x v="182"/>
    <x v="182"/>
    <x v="0"/>
    <x v="0"/>
    <n v="999"/>
    <n v="0.15"/>
    <n v="4.0999999999999996"/>
    <n v="6736"/>
  </r>
  <r>
    <x v="183"/>
    <x v="183"/>
    <x v="0"/>
    <x v="0"/>
    <n v="1999"/>
    <n v="0.53"/>
    <n v="4.4000000000000004"/>
    <n v="13552"/>
  </r>
  <r>
    <x v="184"/>
    <x v="184"/>
    <x v="0"/>
    <x v="0"/>
    <n v="1200"/>
    <n v="0.57999999999999996"/>
    <n v="4.3"/>
    <n v="5451"/>
  </r>
  <r>
    <x v="185"/>
    <x v="185"/>
    <x v="0"/>
    <x v="0"/>
    <n v="485"/>
    <n v="0.38"/>
    <n v="4.3"/>
    <n v="10911"/>
  </r>
  <r>
    <x v="186"/>
    <x v="186"/>
    <x v="0"/>
    <x v="0"/>
    <n v="1999"/>
    <n v="0.53"/>
    <n v="4.4000000000000004"/>
    <n v="13552"/>
  </r>
  <r>
    <x v="187"/>
    <x v="187"/>
    <x v="0"/>
    <x v="0"/>
    <n v="1099"/>
    <n v="0.66"/>
    <n v="4.3"/>
    <n v="2806"/>
  </r>
  <r>
    <x v="188"/>
    <x v="188"/>
    <x v="1"/>
    <x v="3"/>
    <n v="18990"/>
    <n v="0.53"/>
    <n v="3.9"/>
    <n v="350"/>
  </r>
  <r>
    <x v="189"/>
    <x v="189"/>
    <x v="1"/>
    <x v="9"/>
    <n v="1999"/>
    <n v="0.76"/>
    <n v="4.2"/>
    <n v="30023"/>
  </r>
  <r>
    <x v="190"/>
    <x v="190"/>
    <x v="1"/>
    <x v="5"/>
    <n v="11000"/>
    <n v="0.48"/>
    <n v="4.2"/>
    <n v="4003"/>
  </r>
  <r>
    <x v="191"/>
    <x v="191"/>
    <x v="0"/>
    <x v="0"/>
    <n v="1999"/>
    <n v="0.65"/>
    <n v="4.0999999999999996"/>
    <n v="178817"/>
  </r>
  <r>
    <x v="192"/>
    <x v="192"/>
    <x v="1"/>
    <x v="3"/>
    <n v="70900"/>
    <n v="0.32"/>
    <n v="4.3"/>
    <n v="7109"/>
  </r>
  <r>
    <x v="193"/>
    <x v="193"/>
    <x v="1"/>
    <x v="4"/>
    <n v="1199"/>
    <n v="0.75"/>
    <n v="3.7"/>
    <n v="490"/>
  </r>
  <r>
    <x v="194"/>
    <x v="194"/>
    <x v="0"/>
    <x v="0"/>
    <n v="599"/>
    <n v="0.47"/>
    <n v="4.0999999999999996"/>
    <n v="491"/>
  </r>
  <r>
    <x v="195"/>
    <x v="195"/>
    <x v="0"/>
    <x v="0"/>
    <n v="549"/>
    <n v="0.75"/>
    <n v="3.9"/>
    <n v="61"/>
  </r>
  <r>
    <x v="196"/>
    <x v="196"/>
    <x v="0"/>
    <x v="0"/>
    <n v="249"/>
    <n v="0.48"/>
    <n v="4"/>
    <n v="9378"/>
  </r>
  <r>
    <x v="197"/>
    <x v="197"/>
    <x v="1"/>
    <x v="3"/>
    <n v="35999"/>
    <n v="0.31"/>
    <n v="4.2"/>
    <n v="32840"/>
  </r>
  <r>
    <x v="198"/>
    <x v="198"/>
    <x v="0"/>
    <x v="0"/>
    <n v="1699"/>
    <n v="0.41"/>
    <n v="4.4000000000000004"/>
    <n v="7318"/>
  </r>
  <r>
    <x v="199"/>
    <x v="199"/>
    <x v="0"/>
    <x v="0"/>
    <n v="499"/>
    <n v="0.55000000000000004"/>
    <n v="4.0999999999999996"/>
    <n v="789"/>
  </r>
  <r>
    <x v="200"/>
    <x v="200"/>
    <x v="1"/>
    <x v="4"/>
    <n v="2999"/>
    <n v="0.82"/>
    <n v="4.3"/>
    <n v="407"/>
  </r>
  <r>
    <x v="201"/>
    <x v="201"/>
    <x v="0"/>
    <x v="0"/>
    <n v="699"/>
    <n v="0.63"/>
    <n v="3.8"/>
    <n v="2399"/>
  </r>
  <r>
    <x v="202"/>
    <x v="202"/>
    <x v="1"/>
    <x v="4"/>
    <n v="699"/>
    <n v="0.66"/>
    <n v="4.4000000000000004"/>
    <n v="2640"/>
  </r>
  <r>
    <x v="203"/>
    <x v="203"/>
    <x v="1"/>
    <x v="4"/>
    <n v="999"/>
    <n v="0.65"/>
    <n v="4"/>
    <n v="839"/>
  </r>
  <r>
    <x v="204"/>
    <x v="204"/>
    <x v="1"/>
    <x v="2"/>
    <n v="599"/>
    <n v="0.22"/>
    <n v="4.4000000000000004"/>
    <n v="44054"/>
  </r>
  <r>
    <x v="205"/>
    <x v="205"/>
    <x v="0"/>
    <x v="0"/>
    <n v="599"/>
    <n v="0.25"/>
    <n v="4"/>
    <n v="3231"/>
  </r>
  <r>
    <x v="206"/>
    <x v="206"/>
    <x v="1"/>
    <x v="3"/>
    <n v="31990"/>
    <n v="0.63"/>
    <n v="4.2"/>
    <n v="64"/>
  </r>
  <r>
    <x v="207"/>
    <x v="207"/>
    <x v="0"/>
    <x v="0"/>
    <n v="599"/>
    <n v="0.42"/>
    <n v="3.9"/>
    <n v="8314"/>
  </r>
  <r>
    <x v="208"/>
    <x v="208"/>
    <x v="0"/>
    <x v="0"/>
    <n v="999"/>
    <n v="0.75"/>
    <n v="3.7"/>
    <n v="2249"/>
  </r>
  <r>
    <x v="209"/>
    <x v="209"/>
    <x v="1"/>
    <x v="4"/>
    <n v="599"/>
    <n v="0.66"/>
    <n v="3.6"/>
    <n v="339"/>
  </r>
  <r>
    <x v="210"/>
    <x v="210"/>
    <x v="1"/>
    <x v="10"/>
    <n v="9990"/>
    <n v="0.35"/>
    <n v="4"/>
    <n v="27"/>
  </r>
  <r>
    <x v="211"/>
    <x v="211"/>
    <x v="1"/>
    <x v="4"/>
    <n v="599"/>
    <n v="0.61"/>
    <n v="3.5"/>
    <n v="197"/>
  </r>
  <r>
    <x v="212"/>
    <x v="212"/>
    <x v="0"/>
    <x v="0"/>
    <n v="800"/>
    <n v="0.63"/>
    <n v="4.5"/>
    <n v="74977"/>
  </r>
  <r>
    <x v="213"/>
    <x v="213"/>
    <x v="0"/>
    <x v="0"/>
    <n v="1999"/>
    <n v="0.6"/>
    <n v="4.2"/>
    <n v="8583"/>
  </r>
  <r>
    <x v="214"/>
    <x v="214"/>
    <x v="1"/>
    <x v="4"/>
    <n v="999"/>
    <n v="0.7"/>
    <n v="3.8"/>
    <n v="928"/>
  </r>
  <r>
    <x v="215"/>
    <x v="215"/>
    <x v="1"/>
    <x v="5"/>
    <n v="16990"/>
    <n v="0.59"/>
    <n v="3.8"/>
    <n v="110"/>
  </r>
  <r>
    <x v="216"/>
    <x v="216"/>
    <x v="1"/>
    <x v="3"/>
    <n v="59999"/>
    <n v="0.28000000000000003"/>
    <n v="4.0999999999999996"/>
    <n v="6753"/>
  </r>
  <r>
    <x v="217"/>
    <x v="217"/>
    <x v="1"/>
    <x v="2"/>
    <n v="999"/>
    <n v="0.83"/>
    <n v="4.3"/>
    <n v="1237"/>
  </r>
  <r>
    <x v="218"/>
    <x v="218"/>
    <x v="1"/>
    <x v="11"/>
    <n v="600"/>
    <n v="0.65"/>
    <n v="4.4000000000000004"/>
    <n v="18872"/>
  </r>
  <r>
    <x v="219"/>
    <x v="219"/>
    <x v="0"/>
    <x v="0"/>
    <n v="1490"/>
    <n v="0.43"/>
    <n v="3.9"/>
    <n v="356"/>
  </r>
  <r>
    <x v="220"/>
    <x v="220"/>
    <x v="0"/>
    <x v="0"/>
    <n v="1999"/>
    <n v="0.68"/>
    <n v="4.2"/>
    <n v="24269"/>
  </r>
  <r>
    <x v="221"/>
    <x v="221"/>
    <x v="1"/>
    <x v="4"/>
    <n v="899"/>
    <n v="0.67"/>
    <n v="3.8"/>
    <n v="425"/>
  </r>
  <r>
    <x v="222"/>
    <x v="222"/>
    <x v="1"/>
    <x v="6"/>
    <n v="799"/>
    <n v="0.5"/>
    <n v="4.0999999999999996"/>
    <n v="1161"/>
  </r>
  <r>
    <x v="223"/>
    <x v="223"/>
    <x v="0"/>
    <x v="0"/>
    <n v="499"/>
    <n v="0.5"/>
    <n v="4.0999999999999996"/>
    <n v="1508"/>
  </r>
  <r>
    <x v="224"/>
    <x v="224"/>
    <x v="1"/>
    <x v="12"/>
    <n v="2299"/>
    <n v="0.46"/>
    <n v="4.3"/>
    <n v="7636"/>
  </r>
  <r>
    <x v="225"/>
    <x v="225"/>
    <x v="1"/>
    <x v="4"/>
    <n v="499"/>
    <n v="0.56999999999999995"/>
    <n v="3.7"/>
    <n v="246"/>
  </r>
  <r>
    <x v="226"/>
    <x v="226"/>
    <x v="1"/>
    <x v="4"/>
    <n v="499"/>
    <n v="0.57999999999999996"/>
    <n v="4"/>
    <n v="479"/>
  </r>
  <r>
    <x v="227"/>
    <x v="227"/>
    <x v="1"/>
    <x v="2"/>
    <n v="4999"/>
    <n v="0.88"/>
    <n v="4.2"/>
    <n v="910"/>
  </r>
  <r>
    <x v="228"/>
    <x v="228"/>
    <x v="0"/>
    <x v="0"/>
    <n v="1749"/>
    <n v="0.54"/>
    <n v="4.0999999999999996"/>
    <n v="5626"/>
  </r>
  <r>
    <x v="229"/>
    <x v="229"/>
    <x v="0"/>
    <x v="0"/>
    <n v="595"/>
    <n v="0.73"/>
    <n v="4.3"/>
    <n v="14184"/>
  </r>
  <r>
    <x v="230"/>
    <x v="230"/>
    <x v="0"/>
    <x v="13"/>
    <n v="1100"/>
    <n v="0.55000000000000004"/>
    <n v="4.4000000000000004"/>
    <n v="25177"/>
  </r>
  <r>
    <x v="231"/>
    <x v="231"/>
    <x v="1"/>
    <x v="3"/>
    <n v="49999"/>
    <n v="0.36"/>
    <n v="4.3"/>
    <n v="21252"/>
  </r>
  <r>
    <x v="232"/>
    <x v="232"/>
    <x v="1"/>
    <x v="3"/>
    <n v="56790"/>
    <n v="0.42"/>
    <n v="4.3"/>
    <n v="567"/>
  </r>
  <r>
    <x v="233"/>
    <x v="233"/>
    <x v="1"/>
    <x v="4"/>
    <n v="1199"/>
    <n v="0.75"/>
    <n v="3.5"/>
    <n v="466"/>
  </r>
  <r>
    <x v="234"/>
    <x v="234"/>
    <x v="0"/>
    <x v="0"/>
    <n v="549"/>
    <n v="0.77"/>
    <n v="3.9"/>
    <n v="61"/>
  </r>
  <r>
    <x v="235"/>
    <x v="235"/>
    <x v="0"/>
    <x v="0"/>
    <n v="849"/>
    <n v="0.28999999999999998"/>
    <n v="4.5"/>
    <n v="474"/>
  </r>
  <r>
    <x v="236"/>
    <x v="236"/>
    <x v="1"/>
    <x v="4"/>
    <n v="899"/>
    <n v="0.56000000000000005"/>
    <n v="3.4"/>
    <n v="431"/>
  </r>
  <r>
    <x v="237"/>
    <x v="237"/>
    <x v="0"/>
    <x v="0"/>
    <n v="1099"/>
    <n v="0.59"/>
    <n v="4"/>
    <n v="242"/>
  </r>
  <r>
    <x v="238"/>
    <x v="238"/>
    <x v="0"/>
    <x v="0"/>
    <n v="799"/>
    <n v="0.68"/>
    <n v="4"/>
    <n v="2905"/>
  </r>
  <r>
    <x v="239"/>
    <x v="239"/>
    <x v="1"/>
    <x v="14"/>
    <n v="795"/>
    <n v="0.5"/>
    <n v="4.4000000000000004"/>
    <n v="12091"/>
  </r>
  <r>
    <x v="240"/>
    <x v="240"/>
    <x v="0"/>
    <x v="0"/>
    <n v="399"/>
    <n v="0.55000000000000004"/>
    <n v="4"/>
    <n v="1423"/>
  </r>
  <r>
    <x v="241"/>
    <x v="241"/>
    <x v="0"/>
    <x v="0"/>
    <n v="999"/>
    <n v="0.66"/>
    <n v="4.3"/>
    <n v="6255"/>
  </r>
  <r>
    <x v="242"/>
    <x v="242"/>
    <x v="1"/>
    <x v="6"/>
    <n v="999"/>
    <n v="0.6"/>
    <n v="4"/>
    <n v="1236"/>
  </r>
  <r>
    <x v="243"/>
    <x v="243"/>
    <x v="1"/>
    <x v="4"/>
    <n v="399"/>
    <n v="0.5"/>
    <n v="4.2"/>
    <n v="1335"/>
  </r>
  <r>
    <x v="244"/>
    <x v="244"/>
    <x v="1"/>
    <x v="4"/>
    <n v="1999"/>
    <n v="0.83"/>
    <n v="3.8"/>
    <n v="197"/>
  </r>
  <r>
    <x v="245"/>
    <x v="245"/>
    <x v="0"/>
    <x v="0"/>
    <n v="798"/>
    <n v="0.63"/>
    <n v="4.4000000000000004"/>
    <n v="28791"/>
  </r>
  <r>
    <x v="246"/>
    <x v="246"/>
    <x v="0"/>
    <x v="0"/>
    <n v="800"/>
    <n v="0.89"/>
    <n v="3.9"/>
    <n v="1075"/>
  </r>
  <r>
    <x v="247"/>
    <x v="247"/>
    <x v="0"/>
    <x v="0"/>
    <n v="995"/>
    <n v="0.45"/>
    <n v="4.2"/>
    <n v="29746"/>
  </r>
  <r>
    <x v="248"/>
    <x v="248"/>
    <x v="0"/>
    <x v="0"/>
    <n v="1000"/>
    <n v="0.87"/>
    <n v="3.9"/>
    <n v="295"/>
  </r>
  <r>
    <x v="249"/>
    <x v="249"/>
    <x v="1"/>
    <x v="3"/>
    <n v="139900"/>
    <n v="0.44"/>
    <n v="4.7"/>
    <n v="5935"/>
  </r>
  <r>
    <x v="250"/>
    <x v="250"/>
    <x v="1"/>
    <x v="4"/>
    <n v="799"/>
    <n v="0.56000000000000005"/>
    <n v="3.6"/>
    <n v="323"/>
  </r>
  <r>
    <x v="251"/>
    <x v="251"/>
    <x v="1"/>
    <x v="4"/>
    <n v="899"/>
    <n v="0.44"/>
    <n v="3.7"/>
    <n v="185"/>
  </r>
  <r>
    <x v="252"/>
    <x v="252"/>
    <x v="0"/>
    <x v="0"/>
    <n v="799"/>
    <n v="0.63"/>
    <n v="4.2"/>
    <n v="2117"/>
  </r>
  <r>
    <x v="253"/>
    <x v="253"/>
    <x v="0"/>
    <x v="0"/>
    <n v="599"/>
    <n v="0.7"/>
    <n v="4"/>
    <n v="9378"/>
  </r>
  <r>
    <x v="254"/>
    <x v="254"/>
    <x v="1"/>
    <x v="6"/>
    <n v="399"/>
    <n v="0.76"/>
    <n v="3.6"/>
    <n v="1796"/>
  </r>
  <r>
    <x v="255"/>
    <x v="255"/>
    <x v="1"/>
    <x v="3"/>
    <n v="85000"/>
    <n v="0.35"/>
    <n v="4.3"/>
    <n v="3587"/>
  </r>
  <r>
    <x v="256"/>
    <x v="256"/>
    <x v="1"/>
    <x v="7"/>
    <n v="758"/>
    <n v="0.42"/>
    <n v="4.2"/>
    <n v="4296"/>
  </r>
  <r>
    <x v="257"/>
    <x v="257"/>
    <x v="0"/>
    <x v="0"/>
    <n v="999"/>
    <n v="0.7"/>
    <n v="4.3"/>
    <n v="2651"/>
  </r>
  <r>
    <x v="258"/>
    <x v="258"/>
    <x v="0"/>
    <x v="0"/>
    <n v="799"/>
    <n v="0.63"/>
    <n v="4.2"/>
    <n v="94363"/>
  </r>
  <r>
    <x v="259"/>
    <x v="259"/>
    <x v="0"/>
    <x v="0"/>
    <n v="1999"/>
    <n v="0.61"/>
    <n v="4.2"/>
    <n v="34540"/>
  </r>
  <r>
    <x v="260"/>
    <x v="260"/>
    <x v="1"/>
    <x v="2"/>
    <n v="700"/>
    <n v="0.56999999999999995"/>
    <n v="4.4000000000000004"/>
    <n v="8714"/>
  </r>
  <r>
    <x v="261"/>
    <x v="261"/>
    <x v="0"/>
    <x v="0"/>
    <n v="1099"/>
    <n v="0.7"/>
    <n v="4.2"/>
    <n v="10576"/>
  </r>
  <r>
    <x v="262"/>
    <x v="262"/>
    <x v="0"/>
    <x v="0"/>
    <n v="1999"/>
    <n v="0.35"/>
    <n v="4.4000000000000004"/>
    <n v="7318"/>
  </r>
  <r>
    <x v="263"/>
    <x v="263"/>
    <x v="1"/>
    <x v="4"/>
    <n v="1999"/>
    <n v="0.6"/>
    <n v="3"/>
    <n v="103"/>
  </r>
  <r>
    <x v="264"/>
    <x v="264"/>
    <x v="1"/>
    <x v="15"/>
    <n v="4699"/>
    <n v="0"/>
    <n v="4.5"/>
    <n v="224"/>
  </r>
  <r>
    <x v="265"/>
    <x v="265"/>
    <x v="1"/>
    <x v="3"/>
    <n v="24990"/>
    <n v="0.24"/>
    <n v="4.3"/>
    <n v="4702"/>
  </r>
  <r>
    <x v="266"/>
    <x v="266"/>
    <x v="0"/>
    <x v="0"/>
    <n v="999"/>
    <n v="0.8"/>
    <n v="4.2"/>
    <n v="85"/>
  </r>
  <r>
    <x v="267"/>
    <x v="267"/>
    <x v="1"/>
    <x v="2"/>
    <n v="650"/>
    <n v="0.59"/>
    <n v="4.4000000000000004"/>
    <n v="35877"/>
  </r>
  <r>
    <x v="268"/>
    <x v="268"/>
    <x v="1"/>
    <x v="16"/>
    <n v="3100"/>
    <n v="0.36"/>
    <n v="4"/>
    <n v="897"/>
  </r>
  <r>
    <x v="269"/>
    <x v="269"/>
    <x v="1"/>
    <x v="17"/>
    <n v="3999"/>
    <n v="0.43"/>
    <n v="3.8"/>
    <n v="282"/>
  </r>
  <r>
    <x v="270"/>
    <x v="270"/>
    <x v="1"/>
    <x v="3"/>
    <n v="49990"/>
    <n v="0.28000000000000003"/>
    <n v="4.3"/>
    <n v="1611"/>
  </r>
  <r>
    <x v="271"/>
    <x v="271"/>
    <x v="1"/>
    <x v="4"/>
    <n v="999"/>
    <n v="0.65"/>
    <n v="4.2"/>
    <n v="513"/>
  </r>
  <r>
    <x v="272"/>
    <x v="272"/>
    <x v="0"/>
    <x v="0"/>
    <n v="1499"/>
    <n v="0.52"/>
    <n v="4.0999999999999996"/>
    <n v="1045"/>
  </r>
  <r>
    <x v="273"/>
    <x v="273"/>
    <x v="1"/>
    <x v="3"/>
    <n v="18999"/>
    <n v="0.53"/>
    <n v="4"/>
    <n v="6347"/>
  </r>
  <r>
    <x v="274"/>
    <x v="274"/>
    <x v="1"/>
    <x v="12"/>
    <n v="2299"/>
    <n v="0.6"/>
    <n v="4.2"/>
    <n v="3300"/>
  </r>
  <r>
    <x v="275"/>
    <x v="275"/>
    <x v="1"/>
    <x v="4"/>
    <n v="999"/>
    <n v="0.6"/>
    <n v="3.3"/>
    <n v="23"/>
  </r>
  <r>
    <x v="276"/>
    <x v="276"/>
    <x v="1"/>
    <x v="3"/>
    <n v="69900"/>
    <n v="0.34"/>
    <n v="4.3"/>
    <n v="7109"/>
  </r>
  <r>
    <x v="277"/>
    <x v="277"/>
    <x v="0"/>
    <x v="0"/>
    <n v="299"/>
    <n v="0.6"/>
    <n v="3.8"/>
    <n v="51"/>
  </r>
  <r>
    <x v="278"/>
    <x v="278"/>
    <x v="1"/>
    <x v="3"/>
    <n v="29999"/>
    <n v="0.27"/>
    <n v="4.2"/>
    <n v="32840"/>
  </r>
  <r>
    <x v="279"/>
    <x v="279"/>
    <x v="1"/>
    <x v="4"/>
    <n v="599"/>
    <n v="0.5"/>
    <n v="3.7"/>
    <n v="708"/>
  </r>
  <r>
    <x v="280"/>
    <x v="280"/>
    <x v="1"/>
    <x v="3"/>
    <n v="34990"/>
    <n v="0.37"/>
    <n v="4.3"/>
    <n v="1657"/>
  </r>
  <r>
    <x v="281"/>
    <x v="281"/>
    <x v="0"/>
    <x v="0"/>
    <n v="670"/>
    <n v="0.38"/>
    <n v="3.9"/>
    <n v="523"/>
  </r>
  <r>
    <x v="282"/>
    <x v="282"/>
    <x v="1"/>
    <x v="3"/>
    <n v="79990"/>
    <n v="0.4"/>
    <n v="4.3"/>
    <n v="1376"/>
  </r>
  <r>
    <x v="283"/>
    <x v="283"/>
    <x v="1"/>
    <x v="4"/>
    <n v="499"/>
    <n v="0.56999999999999995"/>
    <n v="3.5"/>
    <n v="121"/>
  </r>
  <r>
    <x v="284"/>
    <x v="284"/>
    <x v="0"/>
    <x v="0"/>
    <n v="800"/>
    <n v="0.88"/>
    <n v="3.9"/>
    <n v="1075"/>
  </r>
  <r>
    <x v="285"/>
    <x v="285"/>
    <x v="1"/>
    <x v="3"/>
    <n v="35000"/>
    <n v="0.46"/>
    <n v="4"/>
    <n v="1001"/>
  </r>
  <r>
    <x v="286"/>
    <x v="286"/>
    <x v="0"/>
    <x v="0"/>
    <n v="999"/>
    <n v="0.75"/>
    <n v="4.3"/>
    <n v="112"/>
  </r>
  <r>
    <x v="287"/>
    <x v="287"/>
    <x v="1"/>
    <x v="5"/>
    <n v="15999"/>
    <n v="0.5"/>
    <n v="3.8"/>
    <n v="3022"/>
  </r>
  <r>
    <x v="288"/>
    <x v="288"/>
    <x v="0"/>
    <x v="0"/>
    <n v="1600"/>
    <n v="0.59"/>
    <n v="4.3"/>
    <n v="5451"/>
  </r>
  <r>
    <x v="289"/>
    <x v="79"/>
    <x v="1"/>
    <x v="4"/>
    <n v="2499"/>
    <n v="0.48"/>
    <n v="3.3"/>
    <n v="73"/>
  </r>
  <r>
    <x v="290"/>
    <x v="289"/>
    <x v="1"/>
    <x v="2"/>
    <n v="1500"/>
    <n v="0.59"/>
    <n v="4.5"/>
    <n v="1029"/>
  </r>
  <r>
    <x v="291"/>
    <x v="290"/>
    <x v="1"/>
    <x v="3"/>
    <n v="54990"/>
    <n v="0.4"/>
    <n v="4.0999999999999996"/>
    <n v="1555"/>
  </r>
  <r>
    <x v="292"/>
    <x v="291"/>
    <x v="1"/>
    <x v="2"/>
    <n v="1999"/>
    <n v="0.7"/>
    <n v="4.2"/>
    <n v="47"/>
  </r>
  <r>
    <x v="293"/>
    <x v="292"/>
    <x v="0"/>
    <x v="0"/>
    <n v="899"/>
    <n v="0.61"/>
    <n v="4.0999999999999996"/>
    <n v="14896"/>
  </r>
  <r>
    <x v="294"/>
    <x v="293"/>
    <x v="1"/>
    <x v="3"/>
    <n v="50999"/>
    <n v="0.41"/>
    <n v="4.4000000000000004"/>
    <n v="1712"/>
  </r>
  <r>
    <x v="295"/>
    <x v="243"/>
    <x v="1"/>
    <x v="4"/>
    <n v="399"/>
    <n v="0.5"/>
    <n v="4.2"/>
    <n v="1335"/>
  </r>
  <r>
    <x v="296"/>
    <x v="294"/>
    <x v="1"/>
    <x v="4"/>
    <n v="699"/>
    <n v="0.5"/>
    <n v="3.9"/>
    <n v="214"/>
  </r>
  <r>
    <x v="297"/>
    <x v="295"/>
    <x v="1"/>
    <x v="6"/>
    <n v="4500"/>
    <n v="0.59"/>
    <n v="4"/>
    <n v="184"/>
  </r>
  <r>
    <x v="298"/>
    <x v="296"/>
    <x v="1"/>
    <x v="10"/>
    <n v="28900"/>
    <n v="0.52"/>
    <n v="4.5"/>
    <n v="7"/>
  </r>
  <r>
    <x v="299"/>
    <x v="297"/>
    <x v="0"/>
    <x v="0"/>
    <n v="449"/>
    <n v="0.71"/>
    <n v="3.7"/>
    <n v="41"/>
  </r>
  <r>
    <x v="300"/>
    <x v="298"/>
    <x v="1"/>
    <x v="2"/>
    <n v="999"/>
    <n v="0.62"/>
    <n v="4.2"/>
    <n v="12153"/>
  </r>
  <r>
    <x v="301"/>
    <x v="299"/>
    <x v="1"/>
    <x v="2"/>
    <n v="499"/>
    <n v="0.63"/>
    <n v="4.2"/>
    <n v="25"/>
  </r>
  <r>
    <x v="302"/>
    <x v="300"/>
    <x v="0"/>
    <x v="1"/>
    <n v="999"/>
    <n v="0.78"/>
    <n v="4.2"/>
    <n v="163"/>
  </r>
  <r>
    <x v="303"/>
    <x v="301"/>
    <x v="0"/>
    <x v="0"/>
    <n v="999"/>
    <n v="0.8"/>
    <n v="4.3"/>
    <n v="87"/>
  </r>
  <r>
    <x v="304"/>
    <x v="302"/>
    <x v="1"/>
    <x v="2"/>
    <n v="900"/>
    <n v="0.45"/>
    <n v="4.4000000000000004"/>
    <n v="2165"/>
  </r>
  <r>
    <x v="305"/>
    <x v="303"/>
    <x v="1"/>
    <x v="3"/>
    <n v="42999"/>
    <n v="0.37"/>
    <n v="4.2"/>
    <n v="1510"/>
  </r>
  <r>
    <x v="306"/>
    <x v="304"/>
    <x v="1"/>
    <x v="6"/>
    <n v="1052"/>
    <n v="0.15"/>
    <n v="4.3"/>
    <n v="106"/>
  </r>
  <r>
    <x v="307"/>
    <x v="305"/>
    <x v="1"/>
    <x v="3"/>
    <n v="19990"/>
    <n v="0.45"/>
    <n v="3.7"/>
    <n v="129"/>
  </r>
  <r>
    <x v="308"/>
    <x v="306"/>
    <x v="0"/>
    <x v="0"/>
    <n v="1099"/>
    <n v="0.66"/>
    <n v="4.3"/>
    <n v="3049"/>
  </r>
  <r>
    <x v="309"/>
    <x v="307"/>
    <x v="1"/>
    <x v="3"/>
    <n v="25999"/>
    <n v="0.35"/>
    <n v="4.2"/>
    <n v="32840"/>
  </r>
  <r>
    <x v="310"/>
    <x v="308"/>
    <x v="1"/>
    <x v="2"/>
    <n v="1899"/>
    <n v="0.63"/>
    <n v="4.4000000000000004"/>
    <n v="390"/>
  </r>
  <r>
    <x v="311"/>
    <x v="309"/>
    <x v="1"/>
    <x v="18"/>
    <n v="3500"/>
    <n v="0.23"/>
    <n v="3.5"/>
    <n v="621"/>
  </r>
  <r>
    <x v="312"/>
    <x v="310"/>
    <x v="0"/>
    <x v="0"/>
    <n v="599"/>
    <n v="0.78"/>
    <n v="4.0999999999999996"/>
    <n v="265"/>
  </r>
  <r>
    <x v="313"/>
    <x v="311"/>
    <x v="0"/>
    <x v="0"/>
    <n v="999"/>
    <n v="0.61"/>
    <n v="4.3"/>
    <n v="838"/>
  </r>
  <r>
    <x v="314"/>
    <x v="312"/>
    <x v="1"/>
    <x v="4"/>
    <n v="600"/>
    <n v="0.59"/>
    <n v="4.2"/>
    <n v="143"/>
  </r>
  <r>
    <x v="315"/>
    <x v="313"/>
    <x v="0"/>
    <x v="0"/>
    <n v="799"/>
    <n v="0.63"/>
    <n v="4"/>
    <n v="151"/>
  </r>
  <r>
    <x v="316"/>
    <x v="314"/>
    <x v="1"/>
    <x v="4"/>
    <n v="399"/>
    <n v="0.38"/>
    <n v="3.9"/>
    <n v="200"/>
  </r>
  <r>
    <x v="317"/>
    <x v="315"/>
    <x v="1"/>
    <x v="4"/>
    <n v="2999"/>
    <n v="0.54"/>
    <n v="3.3"/>
    <n v="227"/>
  </r>
  <r>
    <x v="318"/>
    <x v="316"/>
    <x v="1"/>
    <x v="4"/>
    <n v="499"/>
    <n v="0.6"/>
    <n v="3.8"/>
    <n v="538"/>
  </r>
  <r>
    <x v="319"/>
    <x v="317"/>
    <x v="1"/>
    <x v="2"/>
    <n v="599"/>
    <n v="0.5"/>
    <n v="4"/>
    <n v="171"/>
  </r>
  <r>
    <x v="320"/>
    <x v="318"/>
    <x v="1"/>
    <x v="3"/>
    <n v="14999"/>
    <n v="0"/>
    <n v="4.3"/>
    <n v="27508"/>
  </r>
  <r>
    <x v="321"/>
    <x v="319"/>
    <x v="0"/>
    <x v="0"/>
    <n v="699"/>
    <n v="0.56999999999999995"/>
    <n v="3.9"/>
    <n v="1454"/>
  </r>
  <r>
    <x v="322"/>
    <x v="320"/>
    <x v="1"/>
    <x v="3"/>
    <n v="51990"/>
    <n v="0.52"/>
    <n v="4.2"/>
    <n v="2951"/>
  </r>
  <r>
    <x v="323"/>
    <x v="321"/>
    <x v="1"/>
    <x v="3"/>
    <n v="69999"/>
    <n v="0.11"/>
    <n v="4.0999999999999996"/>
    <n v="6753"/>
  </r>
  <r>
    <x v="324"/>
    <x v="322"/>
    <x v="1"/>
    <x v="3"/>
    <n v="50000"/>
    <n v="0.51"/>
    <n v="3.9"/>
    <n v="3518"/>
  </r>
  <r>
    <x v="325"/>
    <x v="323"/>
    <x v="1"/>
    <x v="3"/>
    <n v="19499"/>
    <n v="0.46"/>
    <n v="4.2"/>
    <n v="1510"/>
  </r>
  <r>
    <x v="326"/>
    <x v="324"/>
    <x v="0"/>
    <x v="0"/>
    <n v="999"/>
    <n v="0.65"/>
    <n v="4.3"/>
    <n v="838"/>
  </r>
  <r>
    <x v="327"/>
    <x v="325"/>
    <x v="1"/>
    <x v="4"/>
    <n v="499"/>
    <n v="0.61"/>
    <n v="3.8"/>
    <n v="136"/>
  </r>
  <r>
    <x v="328"/>
    <x v="326"/>
    <x v="1"/>
    <x v="12"/>
    <n v="2499"/>
    <n v="0.48"/>
    <n v="4.3"/>
    <n v="301"/>
  </r>
  <r>
    <x v="329"/>
    <x v="327"/>
    <x v="0"/>
    <x v="0"/>
    <n v="1899"/>
    <n v="0.2"/>
    <n v="4.4000000000000004"/>
    <n v="19763"/>
  </r>
  <r>
    <x v="330"/>
    <x v="328"/>
    <x v="1"/>
    <x v="3"/>
    <n v="69999"/>
    <n v="0.33"/>
    <n v="4.3"/>
    <n v="21252"/>
  </r>
  <r>
    <x v="331"/>
    <x v="329"/>
    <x v="0"/>
    <x v="0"/>
    <n v="799"/>
    <n v="0.63"/>
    <n v="4.3"/>
    <n v="1902"/>
  </r>
  <r>
    <x v="332"/>
    <x v="330"/>
    <x v="1"/>
    <x v="19"/>
    <n v="19999"/>
    <n v="0.91"/>
    <n v="4.2"/>
    <n v="13937"/>
  </r>
  <r>
    <x v="333"/>
    <x v="331"/>
    <x v="1"/>
    <x v="19"/>
    <n v="9999"/>
    <n v="0.8"/>
    <n v="4.3"/>
    <n v="27696"/>
  </r>
  <r>
    <x v="334"/>
    <x v="332"/>
    <x v="1"/>
    <x v="19"/>
    <n v="7990"/>
    <n v="0.75"/>
    <n v="3.8"/>
    <n v="17831"/>
  </r>
  <r>
    <x v="335"/>
    <x v="333"/>
    <x v="1"/>
    <x v="20"/>
    <n v="2199"/>
    <n v="7.0000000000000007E-2"/>
    <n v="4.3"/>
    <n v="178912"/>
  </r>
  <r>
    <x v="336"/>
    <x v="334"/>
    <x v="1"/>
    <x v="21"/>
    <n v="8999"/>
    <n v="0.28000000000000003"/>
    <n v="4"/>
    <n v="7807"/>
  </r>
  <r>
    <x v="337"/>
    <x v="335"/>
    <x v="1"/>
    <x v="21"/>
    <n v="28999"/>
    <n v="0"/>
    <n v="4.3"/>
    <n v="17415"/>
  </r>
  <r>
    <x v="338"/>
    <x v="336"/>
    <x v="1"/>
    <x v="21"/>
    <n v="28999"/>
    <n v="0"/>
    <n v="4.3"/>
    <n v="17415"/>
  </r>
  <r>
    <x v="339"/>
    <x v="337"/>
    <x v="1"/>
    <x v="21"/>
    <n v="8999"/>
    <n v="0.28000000000000003"/>
    <n v="4"/>
    <n v="7807"/>
  </r>
  <r>
    <x v="340"/>
    <x v="338"/>
    <x v="1"/>
    <x v="21"/>
    <n v="8999"/>
    <n v="0.28000000000000003"/>
    <n v="4"/>
    <n v="7807"/>
  </r>
  <r>
    <x v="341"/>
    <x v="339"/>
    <x v="1"/>
    <x v="22"/>
    <n v="1000"/>
    <n v="0.43"/>
    <n v="4.4000000000000004"/>
    <n v="67259"/>
  </r>
  <r>
    <x v="342"/>
    <x v="340"/>
    <x v="1"/>
    <x v="19"/>
    <n v="4999"/>
    <n v="0.62"/>
    <n v="4.0999999999999996"/>
    <n v="10689"/>
  </r>
  <r>
    <x v="343"/>
    <x v="341"/>
    <x v="1"/>
    <x v="23"/>
    <n v="1599"/>
    <n v="0.19"/>
    <n v="4"/>
    <n v="128311"/>
  </r>
  <r>
    <x v="344"/>
    <x v="342"/>
    <x v="1"/>
    <x v="19"/>
    <n v="6990"/>
    <n v="0.79"/>
    <n v="3.9"/>
    <n v="21796"/>
  </r>
  <r>
    <x v="345"/>
    <x v="343"/>
    <x v="1"/>
    <x v="24"/>
    <n v="999"/>
    <n v="0.4"/>
    <n v="4.0999999999999996"/>
    <n v="192590"/>
  </r>
  <r>
    <x v="346"/>
    <x v="344"/>
    <x v="1"/>
    <x v="21"/>
    <n v="11999"/>
    <n v="0.21"/>
    <n v="4.2"/>
    <n v="284"/>
  </r>
  <r>
    <x v="347"/>
    <x v="345"/>
    <x v="1"/>
    <x v="24"/>
    <n v="2499"/>
    <n v="0.76"/>
    <n v="3.9"/>
    <n v="58162"/>
  </r>
  <r>
    <x v="348"/>
    <x v="346"/>
    <x v="1"/>
    <x v="21"/>
    <n v="11999"/>
    <n v="0.25"/>
    <n v="4"/>
    <n v="12796"/>
  </r>
  <r>
    <x v="349"/>
    <x v="347"/>
    <x v="1"/>
    <x v="25"/>
    <n v="1299"/>
    <n v="0.73"/>
    <n v="4"/>
    <n v="14282"/>
  </r>
  <r>
    <x v="350"/>
    <x v="348"/>
    <x v="1"/>
    <x v="24"/>
    <n v="999"/>
    <n v="0.65"/>
    <n v="4.0999999999999996"/>
    <n v="363713"/>
  </r>
  <r>
    <x v="351"/>
    <x v="349"/>
    <x v="1"/>
    <x v="22"/>
    <n v="1800"/>
    <n v="0.47"/>
    <n v="4.4000000000000004"/>
    <n v="67259"/>
  </r>
  <r>
    <x v="352"/>
    <x v="350"/>
    <x v="1"/>
    <x v="21"/>
    <n v="11999"/>
    <n v="0.21"/>
    <n v="4.2"/>
    <n v="284"/>
  </r>
  <r>
    <x v="353"/>
    <x v="351"/>
    <x v="1"/>
    <x v="20"/>
    <n v="2499"/>
    <n v="0.4"/>
    <n v="4.3"/>
    <n v="15970"/>
  </r>
  <r>
    <x v="354"/>
    <x v="352"/>
    <x v="1"/>
    <x v="20"/>
    <n v="2199"/>
    <n v="0.48"/>
    <n v="4.3"/>
    <n v="178912"/>
  </r>
  <r>
    <x v="355"/>
    <x v="353"/>
    <x v="1"/>
    <x v="26"/>
    <n v="999"/>
    <n v="0.65"/>
    <n v="3.9"/>
    <n v="46399"/>
  </r>
  <r>
    <x v="356"/>
    <x v="354"/>
    <x v="1"/>
    <x v="27"/>
    <n v="1699"/>
    <n v="0.28000000000000003"/>
    <n v="4.4000000000000004"/>
    <n v="8891"/>
  </r>
  <r>
    <x v="357"/>
    <x v="355"/>
    <x v="1"/>
    <x v="19"/>
    <n v="3999"/>
    <n v="0.6"/>
    <n v="4"/>
    <n v="30254"/>
  </r>
  <r>
    <x v="358"/>
    <x v="356"/>
    <x v="1"/>
    <x v="19"/>
    <n v="7999"/>
    <n v="0.81"/>
    <n v="4.2"/>
    <n v="22636"/>
  </r>
  <r>
    <x v="359"/>
    <x v="357"/>
    <x v="1"/>
    <x v="21"/>
    <n v="25999"/>
    <n v="0.28999999999999998"/>
    <n v="4.0999999999999996"/>
    <n v="22318"/>
  </r>
  <r>
    <x v="360"/>
    <x v="358"/>
    <x v="1"/>
    <x v="22"/>
    <n v="700"/>
    <n v="0.47"/>
    <n v="4.4000000000000004"/>
    <n v="67259"/>
  </r>
  <r>
    <x v="361"/>
    <x v="359"/>
    <x v="1"/>
    <x v="21"/>
    <n v="17999"/>
    <n v="0.28000000000000003"/>
    <n v="4.0999999999999996"/>
    <n v="18998"/>
  </r>
  <r>
    <x v="362"/>
    <x v="330"/>
    <x v="1"/>
    <x v="19"/>
    <n v="19999"/>
    <n v="0.91"/>
    <n v="4.2"/>
    <n v="13937"/>
  </r>
  <r>
    <x v="363"/>
    <x v="360"/>
    <x v="1"/>
    <x v="19"/>
    <n v="9999"/>
    <n v="0.78"/>
    <n v="4.2"/>
    <n v="29471"/>
  </r>
  <r>
    <x v="364"/>
    <x v="361"/>
    <x v="1"/>
    <x v="21"/>
    <n v="24999"/>
    <n v="0.32"/>
    <n v="4.0999999999999996"/>
    <n v="22318"/>
  </r>
  <r>
    <x v="365"/>
    <x v="362"/>
    <x v="1"/>
    <x v="21"/>
    <n v="20999"/>
    <n v="0.21"/>
    <n v="4"/>
    <n v="21350"/>
  </r>
  <r>
    <x v="366"/>
    <x v="330"/>
    <x v="1"/>
    <x v="19"/>
    <n v="19999"/>
    <n v="0.91"/>
    <n v="4.2"/>
    <n v="13937"/>
  </r>
  <r>
    <x v="367"/>
    <x v="363"/>
    <x v="1"/>
    <x v="21"/>
    <n v="10999"/>
    <n v="0.23"/>
    <n v="4.0999999999999996"/>
    <n v="313836"/>
  </r>
  <r>
    <x v="368"/>
    <x v="364"/>
    <x v="1"/>
    <x v="21"/>
    <n v="8499"/>
    <n v="0.24"/>
    <n v="4.0999999999999996"/>
    <n v="313836"/>
  </r>
  <r>
    <x v="369"/>
    <x v="330"/>
    <x v="1"/>
    <x v="19"/>
    <n v="19999"/>
    <n v="0.91"/>
    <n v="4.2"/>
    <n v="13937"/>
  </r>
  <r>
    <x v="370"/>
    <x v="365"/>
    <x v="1"/>
    <x v="21"/>
    <n v="11999"/>
    <n v="0.25"/>
    <n v="4"/>
    <n v="12796"/>
  </r>
  <r>
    <x v="371"/>
    <x v="366"/>
    <x v="1"/>
    <x v="28"/>
    <n v="495"/>
    <n v="0.72"/>
    <n v="4.3"/>
    <n v="14185"/>
  </r>
  <r>
    <x v="372"/>
    <x v="367"/>
    <x v="1"/>
    <x v="19"/>
    <n v="16999"/>
    <n v="0.76"/>
    <n v="4.3"/>
    <n v="17159"/>
  </r>
  <r>
    <x v="373"/>
    <x v="368"/>
    <x v="1"/>
    <x v="19"/>
    <n v="5999"/>
    <n v="0.5"/>
    <n v="4.0999999999999996"/>
    <n v="5179"/>
  </r>
  <r>
    <x v="374"/>
    <x v="369"/>
    <x v="1"/>
    <x v="21"/>
    <n v="18999"/>
    <n v="0.18"/>
    <n v="4.0999999999999996"/>
    <n v="19252"/>
  </r>
  <r>
    <x v="375"/>
    <x v="330"/>
    <x v="1"/>
    <x v="19"/>
    <n v="19999"/>
    <n v="0.91"/>
    <n v="4.2"/>
    <n v="13937"/>
  </r>
  <r>
    <x v="376"/>
    <x v="370"/>
    <x v="1"/>
    <x v="21"/>
    <n v="11999"/>
    <n v="0.25"/>
    <n v="4"/>
    <n v="12796"/>
  </r>
  <r>
    <x v="377"/>
    <x v="371"/>
    <x v="1"/>
    <x v="25"/>
    <n v="1699"/>
    <n v="0.49"/>
    <n v="4.4000000000000004"/>
    <n v="1680"/>
  </r>
  <r>
    <x v="378"/>
    <x v="372"/>
    <x v="1"/>
    <x v="21"/>
    <n v="15999"/>
    <n v="0.19"/>
    <n v="4.2"/>
    <n v="13246"/>
  </r>
  <r>
    <x v="379"/>
    <x v="373"/>
    <x v="1"/>
    <x v="29"/>
    <n v="1599"/>
    <n v="0.66"/>
    <n v="3.8"/>
    <n v="14648"/>
  </r>
  <r>
    <x v="380"/>
    <x v="331"/>
    <x v="1"/>
    <x v="19"/>
    <n v="9999"/>
    <n v="0.8"/>
    <n v="4.3"/>
    <n v="27696"/>
  </r>
  <r>
    <x v="381"/>
    <x v="374"/>
    <x v="1"/>
    <x v="21"/>
    <n v="20990"/>
    <n v="0.26"/>
    <n v="4.2"/>
    <n v="32916"/>
  </r>
  <r>
    <x v="382"/>
    <x v="375"/>
    <x v="1"/>
    <x v="21"/>
    <n v="24999"/>
    <n v="0.2"/>
    <n v="3.9"/>
    <n v="25824"/>
  </r>
  <r>
    <x v="383"/>
    <x v="376"/>
    <x v="1"/>
    <x v="27"/>
    <n v="1699"/>
    <n v="0.37"/>
    <n v="4.4000000000000004"/>
    <n v="7462"/>
  </r>
  <r>
    <x v="384"/>
    <x v="377"/>
    <x v="1"/>
    <x v="24"/>
    <n v="699"/>
    <n v="0.43"/>
    <n v="4"/>
    <n v="37817"/>
  </r>
  <r>
    <x v="385"/>
    <x v="378"/>
    <x v="1"/>
    <x v="19"/>
    <n v="3990"/>
    <n v="0.5"/>
    <n v="4"/>
    <n v="30254"/>
  </r>
  <r>
    <x v="386"/>
    <x v="379"/>
    <x v="1"/>
    <x v="19"/>
    <n v="7990"/>
    <n v="0.75"/>
    <n v="3.8"/>
    <n v="17831"/>
  </r>
  <r>
    <x v="387"/>
    <x v="380"/>
    <x v="1"/>
    <x v="21"/>
    <n v="34999"/>
    <n v="0.17"/>
    <n v="4.4000000000000004"/>
    <n v="20311"/>
  </r>
  <r>
    <x v="388"/>
    <x v="381"/>
    <x v="1"/>
    <x v="19"/>
    <n v="7990"/>
    <n v="0.71"/>
    <n v="4.2"/>
    <n v="69622"/>
  </r>
  <r>
    <x v="389"/>
    <x v="382"/>
    <x v="1"/>
    <x v="30"/>
    <n v="1999"/>
    <n v="0.8"/>
    <n v="4"/>
    <n v="3382"/>
  </r>
  <r>
    <x v="390"/>
    <x v="383"/>
    <x v="1"/>
    <x v="22"/>
    <n v="3999"/>
    <n v="0.71"/>
    <n v="4.3"/>
    <n v="140036"/>
  </r>
  <r>
    <x v="391"/>
    <x v="384"/>
    <x v="1"/>
    <x v="27"/>
    <n v="1499"/>
    <n v="0.65"/>
    <n v="4.0999999999999996"/>
    <n v="8599"/>
  </r>
  <r>
    <x v="392"/>
    <x v="385"/>
    <x v="1"/>
    <x v="21"/>
    <n v="19499"/>
    <n v="0.28000000000000003"/>
    <n v="4.0999999999999996"/>
    <n v="18998"/>
  </r>
  <r>
    <x v="393"/>
    <x v="386"/>
    <x v="1"/>
    <x v="24"/>
    <n v="999"/>
    <n v="0.62"/>
    <n v="4.0999999999999996"/>
    <n v="363713"/>
  </r>
  <r>
    <x v="394"/>
    <x v="387"/>
    <x v="1"/>
    <x v="21"/>
    <n v="19999"/>
    <n v="0.3"/>
    <n v="4.0999999999999996"/>
    <n v="19252"/>
  </r>
  <r>
    <x v="395"/>
    <x v="388"/>
    <x v="1"/>
    <x v="19"/>
    <n v="9999"/>
    <n v="0.6"/>
    <n v="4.4000000000000004"/>
    <n v="73"/>
  </r>
  <r>
    <x v="396"/>
    <x v="389"/>
    <x v="1"/>
    <x v="31"/>
    <n v="499"/>
    <n v="0.8"/>
    <n v="4.3"/>
    <n v="42641"/>
  </r>
  <r>
    <x v="397"/>
    <x v="390"/>
    <x v="1"/>
    <x v="24"/>
    <n v="15990"/>
    <n v="0.7"/>
    <n v="4"/>
    <n v="4390"/>
  </r>
  <r>
    <x v="398"/>
    <x v="391"/>
    <x v="1"/>
    <x v="21"/>
    <n v="33999"/>
    <n v="0"/>
    <n v="4.3"/>
    <n v="17415"/>
  </r>
  <r>
    <x v="399"/>
    <x v="392"/>
    <x v="0"/>
    <x v="32"/>
    <n v="999"/>
    <n v="0.9"/>
    <n v="4"/>
    <n v="1396"/>
  </r>
  <r>
    <x v="400"/>
    <x v="393"/>
    <x v="1"/>
    <x v="24"/>
    <n v="1900"/>
    <n v="0.84"/>
    <n v="3.6"/>
    <n v="18202"/>
  </r>
  <r>
    <x v="401"/>
    <x v="394"/>
    <x v="1"/>
    <x v="21"/>
    <n v="14999"/>
    <n v="0.27"/>
    <n v="4.0999999999999996"/>
    <n v="18998"/>
  </r>
  <r>
    <x v="402"/>
    <x v="395"/>
    <x v="1"/>
    <x v="21"/>
    <n v="38999"/>
    <n v="0.1"/>
    <n v="4.2"/>
    <n v="11029"/>
  </r>
  <r>
    <x v="403"/>
    <x v="361"/>
    <x v="1"/>
    <x v="21"/>
    <n v="24999"/>
    <n v="0.32"/>
    <n v="4.0999999999999996"/>
    <n v="22318"/>
  </r>
  <r>
    <x v="404"/>
    <x v="396"/>
    <x v="1"/>
    <x v="31"/>
    <n v="499"/>
    <n v="0.6"/>
    <n v="4.0999999999999996"/>
    <n v="1786"/>
  </r>
  <r>
    <x v="405"/>
    <x v="397"/>
    <x v="1"/>
    <x v="20"/>
    <n v="1599"/>
    <n v="0.38"/>
    <n v="4"/>
    <n v="7222"/>
  </r>
  <r>
    <x v="406"/>
    <x v="398"/>
    <x v="1"/>
    <x v="23"/>
    <n v="1599"/>
    <n v="0.19"/>
    <n v="4"/>
    <n v="128311"/>
  </r>
  <r>
    <x v="407"/>
    <x v="399"/>
    <x v="1"/>
    <x v="24"/>
    <n v="1800"/>
    <n v="0.67"/>
    <n v="3.5"/>
    <n v="83996"/>
  </r>
  <r>
    <x v="408"/>
    <x v="400"/>
    <x v="1"/>
    <x v="22"/>
    <n v="1899"/>
    <n v="0.68"/>
    <n v="4.3"/>
    <n v="140036"/>
  </r>
  <r>
    <x v="409"/>
    <x v="401"/>
    <x v="1"/>
    <x v="20"/>
    <n v="2499"/>
    <n v="0.28000000000000003"/>
    <n v="4.0999999999999996"/>
    <n v="18678"/>
  </r>
  <r>
    <x v="410"/>
    <x v="402"/>
    <x v="1"/>
    <x v="21"/>
    <n v="14999"/>
    <n v="0.27"/>
    <n v="4.0999999999999996"/>
    <n v="18998"/>
  </r>
  <r>
    <x v="411"/>
    <x v="403"/>
    <x v="1"/>
    <x v="19"/>
    <n v="7990"/>
    <n v="0.62"/>
    <n v="4.0999999999999996"/>
    <n v="48449"/>
  </r>
  <r>
    <x v="412"/>
    <x v="404"/>
    <x v="1"/>
    <x v="19"/>
    <n v="7990"/>
    <n v="0.75"/>
    <n v="3.8"/>
    <n v="17831"/>
  </r>
  <r>
    <x v="413"/>
    <x v="405"/>
    <x v="1"/>
    <x v="27"/>
    <n v="999"/>
    <n v="0.35"/>
    <n v="4.2"/>
    <n v="1315"/>
  </r>
  <r>
    <x v="414"/>
    <x v="385"/>
    <x v="1"/>
    <x v="21"/>
    <n v="19499"/>
    <n v="0.28000000000000003"/>
    <n v="4.0999999999999996"/>
    <n v="18998"/>
  </r>
  <r>
    <x v="415"/>
    <x v="406"/>
    <x v="1"/>
    <x v="33"/>
    <n v="299"/>
    <n v="0.6"/>
    <n v="4.0999999999999996"/>
    <n v="5999"/>
  </r>
  <r>
    <x v="416"/>
    <x v="407"/>
    <x v="1"/>
    <x v="21"/>
    <n v="17999"/>
    <n v="0.28000000000000003"/>
    <n v="4.0999999999999996"/>
    <n v="50772"/>
  </r>
  <r>
    <x v="417"/>
    <x v="408"/>
    <x v="1"/>
    <x v="21"/>
    <n v="26999"/>
    <n v="0.22"/>
    <n v="3.9"/>
    <n v="25824"/>
  </r>
  <r>
    <x v="418"/>
    <x v="409"/>
    <x v="1"/>
    <x v="27"/>
    <n v="649"/>
    <n v="0.62"/>
    <n v="4"/>
    <n v="14404"/>
  </r>
  <r>
    <x v="419"/>
    <x v="410"/>
    <x v="1"/>
    <x v="27"/>
    <n v="171"/>
    <n v="0.42"/>
    <n v="4.5"/>
    <n v="11339"/>
  </r>
  <r>
    <x v="420"/>
    <x v="411"/>
    <x v="1"/>
    <x v="26"/>
    <n v="1999"/>
    <n v="0.76"/>
    <n v="4"/>
    <n v="3626"/>
  </r>
  <r>
    <x v="421"/>
    <x v="412"/>
    <x v="1"/>
    <x v="22"/>
    <n v="1600"/>
    <n v="0.77"/>
    <n v="4"/>
    <n v="32625"/>
  </r>
  <r>
    <x v="422"/>
    <x v="413"/>
    <x v="1"/>
    <x v="21"/>
    <n v="20999"/>
    <n v="0.26"/>
    <n v="4.0999999999999996"/>
    <n v="19252"/>
  </r>
  <r>
    <x v="423"/>
    <x v="414"/>
    <x v="1"/>
    <x v="21"/>
    <n v="18999"/>
    <n v="0.18"/>
    <n v="4.0999999999999996"/>
    <n v="19252"/>
  </r>
  <r>
    <x v="424"/>
    <x v="415"/>
    <x v="1"/>
    <x v="21"/>
    <n v="28999"/>
    <n v="0.21"/>
    <n v="3.9"/>
    <n v="25824"/>
  </r>
  <r>
    <x v="425"/>
    <x v="416"/>
    <x v="1"/>
    <x v="24"/>
    <n v="1490"/>
    <n v="0.6"/>
    <n v="4.0999999999999996"/>
    <n v="161679"/>
  </r>
  <r>
    <x v="426"/>
    <x v="417"/>
    <x v="1"/>
    <x v="31"/>
    <n v="699"/>
    <n v="0.81"/>
    <n v="4.0999999999999996"/>
    <n v="16685"/>
  </r>
  <r>
    <x v="427"/>
    <x v="418"/>
    <x v="1"/>
    <x v="21"/>
    <n v="7999"/>
    <n v="0.06"/>
    <n v="4"/>
    <n v="30907"/>
  </r>
  <r>
    <x v="428"/>
    <x v="419"/>
    <x v="1"/>
    <x v="20"/>
    <n v="2199"/>
    <n v="0.48"/>
    <n v="4.3"/>
    <n v="178912"/>
  </r>
  <r>
    <x v="429"/>
    <x v="420"/>
    <x v="1"/>
    <x v="23"/>
    <n v="1699"/>
    <n v="0.22"/>
    <n v="4"/>
    <n v="128311"/>
  </r>
  <r>
    <x v="430"/>
    <x v="421"/>
    <x v="1"/>
    <x v="21"/>
    <n v="19999"/>
    <n v="0.3"/>
    <n v="4.0999999999999996"/>
    <n v="19252"/>
  </r>
  <r>
    <x v="431"/>
    <x v="422"/>
    <x v="1"/>
    <x v="20"/>
    <n v="1599"/>
    <n v="0.38"/>
    <n v="4"/>
    <n v="7222"/>
  </r>
  <r>
    <x v="432"/>
    <x v="423"/>
    <x v="1"/>
    <x v="21"/>
    <n v="17999"/>
    <n v="0.28000000000000003"/>
    <n v="4.0999999999999996"/>
    <n v="18998"/>
  </r>
  <r>
    <x v="433"/>
    <x v="424"/>
    <x v="1"/>
    <x v="21"/>
    <n v="20990"/>
    <n v="0.26"/>
    <n v="4.2"/>
    <n v="32916"/>
  </r>
  <r>
    <x v="434"/>
    <x v="425"/>
    <x v="1"/>
    <x v="34"/>
    <n v="2899"/>
    <n v="0.66"/>
    <n v="4.5999999999999996"/>
    <n v="26603"/>
  </r>
  <r>
    <x v="435"/>
    <x v="426"/>
    <x v="1"/>
    <x v="19"/>
    <n v="4999"/>
    <n v="0.68"/>
    <n v="4"/>
    <n v="67950"/>
  </r>
  <r>
    <x v="436"/>
    <x v="427"/>
    <x v="1"/>
    <x v="23"/>
    <n v="1699"/>
    <n v="0.22"/>
    <n v="4"/>
    <n v="128311"/>
  </r>
  <r>
    <x v="437"/>
    <x v="428"/>
    <x v="1"/>
    <x v="21"/>
    <n v="29990"/>
    <n v="0.3"/>
    <n v="4.3"/>
    <n v="9499"/>
  </r>
  <r>
    <x v="438"/>
    <x v="429"/>
    <x v="1"/>
    <x v="27"/>
    <n v="1999"/>
    <n v="0.5"/>
    <n v="4.3"/>
    <n v="1777"/>
  </r>
  <r>
    <x v="439"/>
    <x v="430"/>
    <x v="1"/>
    <x v="21"/>
    <n v="15990"/>
    <n v="0.22"/>
    <n v="4.2"/>
    <n v="58506"/>
  </r>
  <r>
    <x v="440"/>
    <x v="431"/>
    <x v="1"/>
    <x v="21"/>
    <n v="21990"/>
    <n v="0.18"/>
    <n v="4"/>
    <n v="21350"/>
  </r>
  <r>
    <x v="441"/>
    <x v="432"/>
    <x v="1"/>
    <x v="23"/>
    <n v="1630"/>
    <n v="0.14000000000000001"/>
    <n v="4"/>
    <n v="9378"/>
  </r>
  <r>
    <x v="442"/>
    <x v="433"/>
    <x v="1"/>
    <x v="19"/>
    <n v="6990"/>
    <n v="0.79"/>
    <n v="3.9"/>
    <n v="21796"/>
  </r>
  <r>
    <x v="443"/>
    <x v="434"/>
    <x v="1"/>
    <x v="19"/>
    <n v="7990"/>
    <n v="0.75"/>
    <n v="3.8"/>
    <n v="17833"/>
  </r>
  <r>
    <x v="444"/>
    <x v="435"/>
    <x v="1"/>
    <x v="34"/>
    <n v="2899"/>
    <n v="0.66"/>
    <n v="4.7"/>
    <n v="7779"/>
  </r>
  <r>
    <x v="445"/>
    <x v="436"/>
    <x v="1"/>
    <x v="35"/>
    <n v="5999"/>
    <n v="0.65"/>
    <n v="4.3"/>
    <n v="17129"/>
  </r>
  <r>
    <x v="446"/>
    <x v="437"/>
    <x v="1"/>
    <x v="25"/>
    <n v="699"/>
    <n v="0.52"/>
    <n v="4.2"/>
    <n v="4969"/>
  </r>
  <r>
    <x v="447"/>
    <x v="438"/>
    <x v="1"/>
    <x v="19"/>
    <n v="7990"/>
    <n v="0.62"/>
    <n v="4.0999999999999996"/>
    <n v="154"/>
  </r>
  <r>
    <x v="448"/>
    <x v="439"/>
    <x v="1"/>
    <x v="19"/>
    <n v="5999"/>
    <n v="0.78"/>
    <n v="3.3"/>
    <n v="4415"/>
  </r>
  <r>
    <x v="449"/>
    <x v="440"/>
    <x v="1"/>
    <x v="21"/>
    <n v="20990"/>
    <n v="0.21"/>
    <n v="4"/>
    <n v="21350"/>
  </r>
  <r>
    <x v="450"/>
    <x v="441"/>
    <x v="1"/>
    <x v="24"/>
    <n v="499"/>
    <n v="0"/>
    <n v="4.2"/>
    <n v="31539"/>
  </r>
  <r>
    <x v="451"/>
    <x v="442"/>
    <x v="1"/>
    <x v="34"/>
    <n v="2899"/>
    <n v="0.66"/>
    <n v="4.5999999999999996"/>
    <n v="6129"/>
  </r>
  <r>
    <x v="452"/>
    <x v="443"/>
    <x v="1"/>
    <x v="21"/>
    <n v="13499"/>
    <n v="0.22"/>
    <n v="4.2"/>
    <n v="284"/>
  </r>
  <r>
    <x v="453"/>
    <x v="444"/>
    <x v="1"/>
    <x v="36"/>
    <n v="999"/>
    <n v="0.75"/>
    <n v="3.7"/>
    <n v="3234"/>
  </r>
  <r>
    <x v="454"/>
    <x v="445"/>
    <x v="1"/>
    <x v="21"/>
    <n v="7999"/>
    <n v="0.19"/>
    <n v="4.0999999999999996"/>
    <n v="313832"/>
  </r>
  <r>
    <x v="455"/>
    <x v="446"/>
    <x v="1"/>
    <x v="19"/>
    <n v="9999"/>
    <n v="0.7"/>
    <n v="4.2"/>
    <n v="20879"/>
  </r>
  <r>
    <x v="456"/>
    <x v="447"/>
    <x v="1"/>
    <x v="37"/>
    <n v="1499"/>
    <n v="0.81"/>
    <n v="4.2"/>
    <n v="2646"/>
  </r>
  <r>
    <x v="457"/>
    <x v="448"/>
    <x v="1"/>
    <x v="31"/>
    <n v="1499"/>
    <n v="0.82"/>
    <n v="4.5"/>
    <n v="28978"/>
  </r>
  <r>
    <x v="458"/>
    <x v="449"/>
    <x v="1"/>
    <x v="21"/>
    <n v="13499"/>
    <n v="0.33"/>
    <n v="3.8"/>
    <n v="3145"/>
  </r>
  <r>
    <x v="459"/>
    <x v="450"/>
    <x v="1"/>
    <x v="24"/>
    <n v="1299"/>
    <n v="0.54"/>
    <n v="4.0999999999999996"/>
    <n v="192589"/>
  </r>
  <r>
    <x v="460"/>
    <x v="451"/>
    <x v="1"/>
    <x v="35"/>
    <n v="999"/>
    <n v="0.65"/>
    <n v="3.8"/>
    <n v="16557"/>
  </r>
  <r>
    <x v="461"/>
    <x v="385"/>
    <x v="1"/>
    <x v="21"/>
    <n v="19499"/>
    <n v="0.28000000000000003"/>
    <n v="4.0999999999999996"/>
    <n v="18998"/>
  </r>
  <r>
    <x v="462"/>
    <x v="452"/>
    <x v="1"/>
    <x v="35"/>
    <n v="999"/>
    <n v="0.65"/>
    <n v="3.8"/>
    <n v="16557"/>
  </r>
  <r>
    <x v="463"/>
    <x v="453"/>
    <x v="1"/>
    <x v="27"/>
    <n v="599"/>
    <n v="0.17"/>
    <n v="4.2"/>
    <n v="21916"/>
  </r>
  <r>
    <x v="464"/>
    <x v="360"/>
    <x v="1"/>
    <x v="19"/>
    <n v="9999"/>
    <n v="0.78"/>
    <n v="4.2"/>
    <n v="29472"/>
  </r>
  <r>
    <x v="465"/>
    <x v="454"/>
    <x v="1"/>
    <x v="33"/>
    <n v="499"/>
    <n v="0.81"/>
    <n v="4.2"/>
    <n v="1949"/>
  </r>
  <r>
    <x v="466"/>
    <x v="455"/>
    <x v="0"/>
    <x v="0"/>
    <n v="249"/>
    <n v="0.44"/>
    <n v="4"/>
    <n v="9377"/>
  </r>
  <r>
    <x v="467"/>
    <x v="456"/>
    <x v="1"/>
    <x v="19"/>
    <n v="7999"/>
    <n v="0.44"/>
    <n v="3.5"/>
    <n v="37"/>
  </r>
  <r>
    <x v="468"/>
    <x v="457"/>
    <x v="1"/>
    <x v="31"/>
    <n v="599"/>
    <n v="0.85"/>
    <n v="4.3"/>
    <n v="2351"/>
  </r>
  <r>
    <x v="469"/>
    <x v="458"/>
    <x v="1"/>
    <x v="21"/>
    <n v="20999"/>
    <n v="0.26"/>
    <n v="4.0999999999999996"/>
    <n v="19253"/>
  </r>
  <r>
    <x v="470"/>
    <x v="459"/>
    <x v="1"/>
    <x v="21"/>
    <n v="15999"/>
    <n v="0.13"/>
    <n v="3.9"/>
    <n v="2180"/>
  </r>
  <r>
    <x v="471"/>
    <x v="460"/>
    <x v="1"/>
    <x v="19"/>
    <n v="4999"/>
    <n v="0.6"/>
    <n v="3.9"/>
    <n v="7571"/>
  </r>
  <r>
    <x v="472"/>
    <x v="461"/>
    <x v="1"/>
    <x v="19"/>
    <n v="5999"/>
    <n v="0.77"/>
    <n v="3.3"/>
    <n v="4415"/>
  </r>
  <r>
    <x v="473"/>
    <x v="462"/>
    <x v="1"/>
    <x v="26"/>
    <n v="999"/>
    <n v="0.4"/>
    <n v="4"/>
    <n v="18654"/>
  </r>
  <r>
    <x v="474"/>
    <x v="463"/>
    <x v="1"/>
    <x v="27"/>
    <n v="1099"/>
    <n v="0.82"/>
    <n v="4"/>
    <n v="3197"/>
  </r>
  <r>
    <x v="475"/>
    <x v="464"/>
    <x v="1"/>
    <x v="19"/>
    <n v="6990"/>
    <n v="0.74"/>
    <n v="4"/>
    <n v="26880"/>
  </r>
  <r>
    <x v="476"/>
    <x v="465"/>
    <x v="1"/>
    <x v="19"/>
    <n v="6990"/>
    <n v="0.79"/>
    <n v="3.9"/>
    <n v="21796"/>
  </r>
  <r>
    <x v="477"/>
    <x v="466"/>
    <x v="1"/>
    <x v="21"/>
    <n v="29990"/>
    <n v="0.3"/>
    <n v="4.3"/>
    <n v="9499"/>
  </r>
  <r>
    <x v="478"/>
    <x v="467"/>
    <x v="1"/>
    <x v="21"/>
    <n v="13499"/>
    <n v="0.04"/>
    <n v="4.0999999999999996"/>
    <n v="56098"/>
  </r>
  <r>
    <x v="479"/>
    <x v="468"/>
    <x v="1"/>
    <x v="21"/>
    <n v="20999"/>
    <n v="0.19"/>
    <n v="4.0999999999999996"/>
    <n v="31822"/>
  </r>
  <r>
    <x v="480"/>
    <x v="469"/>
    <x v="1"/>
    <x v="21"/>
    <n v="27990"/>
    <n v="0.28999999999999998"/>
    <n v="4.3"/>
    <n v="9499"/>
  </r>
  <r>
    <x v="481"/>
    <x v="470"/>
    <x v="1"/>
    <x v="21"/>
    <n v="18999"/>
    <n v="0.32"/>
    <n v="4.0999999999999996"/>
    <n v="50772"/>
  </r>
  <r>
    <x v="482"/>
    <x v="471"/>
    <x v="1"/>
    <x v="19"/>
    <n v="5999"/>
    <n v="0.5"/>
    <n v="4.0999999999999996"/>
    <n v="7148"/>
  </r>
  <r>
    <x v="483"/>
    <x v="472"/>
    <x v="1"/>
    <x v="27"/>
    <n v="999"/>
    <n v="0.67"/>
    <n v="4.2"/>
    <n v="3492"/>
  </r>
  <r>
    <x v="484"/>
    <x v="473"/>
    <x v="1"/>
    <x v="19"/>
    <n v="5999"/>
    <n v="0.78"/>
    <n v="3.3"/>
    <n v="4415"/>
  </r>
  <r>
    <x v="485"/>
    <x v="474"/>
    <x v="1"/>
    <x v="22"/>
    <n v="3500"/>
    <n v="0.43"/>
    <n v="4.4000000000000004"/>
    <n v="67260"/>
  </r>
  <r>
    <x v="486"/>
    <x v="331"/>
    <x v="1"/>
    <x v="19"/>
    <n v="9999"/>
    <n v="0.8"/>
    <n v="4.3"/>
    <n v="27704"/>
  </r>
  <r>
    <x v="487"/>
    <x v="475"/>
    <x v="1"/>
    <x v="21"/>
    <n v="18999"/>
    <n v="0.32"/>
    <n v="4.0999999999999996"/>
    <n v="50772"/>
  </r>
  <r>
    <x v="488"/>
    <x v="476"/>
    <x v="1"/>
    <x v="19"/>
    <n v="4999"/>
    <n v="0.7"/>
    <n v="4"/>
    <n v="92588"/>
  </r>
  <r>
    <x v="489"/>
    <x v="477"/>
    <x v="1"/>
    <x v="21"/>
    <n v="20999"/>
    <n v="0.19"/>
    <n v="4.0999999999999996"/>
    <n v="31822"/>
  </r>
  <r>
    <x v="490"/>
    <x v="478"/>
    <x v="1"/>
    <x v="19"/>
    <n v="8499"/>
    <n v="0.76"/>
    <n v="4.3"/>
    <n v="240"/>
  </r>
  <r>
    <x v="491"/>
    <x v="479"/>
    <x v="1"/>
    <x v="19"/>
    <n v="6999"/>
    <n v="0.28999999999999998"/>
    <n v="3.8"/>
    <n v="758"/>
  </r>
  <r>
    <x v="492"/>
    <x v="480"/>
    <x v="1"/>
    <x v="19"/>
    <n v="5999"/>
    <n v="0.57999999999999996"/>
    <n v="3.7"/>
    <n v="828"/>
  </r>
  <r>
    <x v="493"/>
    <x v="481"/>
    <x v="1"/>
    <x v="23"/>
    <n v="1630"/>
    <n v="0.14000000000000001"/>
    <n v="4"/>
    <n v="9378"/>
  </r>
  <r>
    <x v="494"/>
    <x v="482"/>
    <x v="1"/>
    <x v="19"/>
    <n v="9999"/>
    <n v="0.85"/>
    <n v="4.2"/>
    <n v="22638"/>
  </r>
  <r>
    <x v="495"/>
    <x v="483"/>
    <x v="1"/>
    <x v="27"/>
    <n v="599"/>
    <n v="0.57999999999999996"/>
    <n v="3.9"/>
    <n v="2147"/>
  </r>
  <r>
    <x v="496"/>
    <x v="484"/>
    <x v="1"/>
    <x v="34"/>
    <n v="1199"/>
    <n v="0.75"/>
    <n v="4.5"/>
    <n v="596"/>
  </r>
  <r>
    <x v="497"/>
    <x v="485"/>
    <x v="1"/>
    <x v="33"/>
    <n v="499"/>
    <n v="0.84"/>
    <n v="4.2"/>
    <n v="1949"/>
  </r>
  <r>
    <x v="498"/>
    <x v="486"/>
    <x v="1"/>
    <x v="21"/>
    <n v="15999"/>
    <n v="0.13"/>
    <n v="3.9"/>
    <n v="2180"/>
  </r>
  <r>
    <x v="499"/>
    <x v="487"/>
    <x v="1"/>
    <x v="24"/>
    <n v="999"/>
    <n v="0.05"/>
    <n v="4.2"/>
    <n v="31539"/>
  </r>
  <r>
    <x v="500"/>
    <x v="488"/>
    <x v="1"/>
    <x v="31"/>
    <n v="499"/>
    <n v="0.8"/>
    <n v="4.0999999999999996"/>
    <n v="2451"/>
  </r>
  <r>
    <x v="501"/>
    <x v="489"/>
    <x v="1"/>
    <x v="19"/>
    <n v="7990"/>
    <n v="0.69"/>
    <n v="4.0999999999999996"/>
    <n v="154"/>
  </r>
  <r>
    <x v="502"/>
    <x v="490"/>
    <x v="1"/>
    <x v="38"/>
    <n v="1999"/>
    <n v="0.66"/>
    <n v="4.3"/>
    <n v="1193"/>
  </r>
  <r>
    <x v="503"/>
    <x v="491"/>
    <x v="1"/>
    <x v="36"/>
    <n v="1899"/>
    <n v="0.74"/>
    <n v="4.0999999999999996"/>
    <n v="1475"/>
  </r>
  <r>
    <x v="504"/>
    <x v="492"/>
    <x v="1"/>
    <x v="34"/>
    <n v="999"/>
    <n v="0.7"/>
    <n v="4.3"/>
    <n v="8891"/>
  </r>
  <r>
    <x v="505"/>
    <x v="493"/>
    <x v="1"/>
    <x v="31"/>
    <n v="499"/>
    <n v="0.57999999999999996"/>
    <n v="3.6"/>
    <n v="104"/>
  </r>
  <r>
    <x v="506"/>
    <x v="494"/>
    <x v="1"/>
    <x v="21"/>
    <n v="12999"/>
    <n v="0.35"/>
    <n v="4.0999999999999996"/>
    <n v="6662"/>
  </r>
  <r>
    <x v="507"/>
    <x v="495"/>
    <x v="1"/>
    <x v="20"/>
    <n v="3999"/>
    <n v="0.46"/>
    <n v="4"/>
    <n v="8380"/>
  </r>
  <r>
    <x v="508"/>
    <x v="496"/>
    <x v="1"/>
    <x v="21"/>
    <n v="20999"/>
    <n v="0.19"/>
    <n v="4.0999999999999996"/>
    <n v="31822"/>
  </r>
  <r>
    <x v="509"/>
    <x v="497"/>
    <x v="1"/>
    <x v="21"/>
    <n v="49999"/>
    <n v="0.1"/>
    <n v="4.3"/>
    <n v="3075"/>
  </r>
  <r>
    <x v="510"/>
    <x v="498"/>
    <x v="1"/>
    <x v="23"/>
    <n v="2999"/>
    <n v="0.13"/>
    <n v="3.9"/>
    <n v="14266"/>
  </r>
  <r>
    <x v="511"/>
    <x v="499"/>
    <x v="1"/>
    <x v="19"/>
    <n v="6499"/>
    <n v="0.56999999999999995"/>
    <n v="4.0999999999999996"/>
    <n v="38879"/>
  </r>
  <r>
    <x v="512"/>
    <x v="500"/>
    <x v="1"/>
    <x v="39"/>
    <n v="2990"/>
    <n v="0.53"/>
    <n v="4.0999999999999996"/>
    <n v="97175"/>
  </r>
  <r>
    <x v="513"/>
    <x v="501"/>
    <x v="1"/>
    <x v="22"/>
    <n v="2400"/>
    <n v="0.73"/>
    <n v="4.4000000000000004"/>
    <n v="67260"/>
  </r>
  <r>
    <x v="514"/>
    <x v="502"/>
    <x v="1"/>
    <x v="27"/>
    <n v="3990"/>
    <n v="0.8"/>
    <n v="3.8"/>
    <n v="119"/>
  </r>
  <r>
    <x v="515"/>
    <x v="503"/>
    <x v="0"/>
    <x v="40"/>
    <n v="149"/>
    <n v="0"/>
    <n v="4.3"/>
    <n v="10833"/>
  </r>
  <r>
    <x v="516"/>
    <x v="504"/>
    <x v="1"/>
    <x v="23"/>
    <n v="5299"/>
    <n v="0.28000000000000003"/>
    <n v="3.5"/>
    <n v="1641"/>
  </r>
  <r>
    <x v="517"/>
    <x v="505"/>
    <x v="1"/>
    <x v="37"/>
    <n v="1899"/>
    <n v="0.9"/>
    <n v="4"/>
    <n v="4740"/>
  </r>
  <r>
    <x v="518"/>
    <x v="506"/>
    <x v="1"/>
    <x v="21"/>
    <n v="32999"/>
    <n v="0.27"/>
    <n v="3.9"/>
    <n v="8866"/>
  </r>
  <r>
    <x v="519"/>
    <x v="507"/>
    <x v="1"/>
    <x v="21"/>
    <n v="39990"/>
    <n v="0.25"/>
    <n v="4.3"/>
    <n v="8399"/>
  </r>
  <r>
    <x v="520"/>
    <x v="508"/>
    <x v="1"/>
    <x v="19"/>
    <n v="1999"/>
    <n v="0.86"/>
    <n v="2.8"/>
    <n v="87"/>
  </r>
  <r>
    <x v="521"/>
    <x v="509"/>
    <x v="1"/>
    <x v="21"/>
    <n v="11999"/>
    <n v="0.33"/>
    <n v="3.8"/>
    <n v="125"/>
  </r>
  <r>
    <x v="522"/>
    <x v="510"/>
    <x v="1"/>
    <x v="19"/>
    <n v="999"/>
    <n v="0.75"/>
    <n v="4.5"/>
    <n v="38"/>
  </r>
  <r>
    <x v="523"/>
    <x v="511"/>
    <x v="1"/>
    <x v="34"/>
    <n v="599"/>
    <n v="0.5"/>
    <n v="4.3"/>
    <n v="4674"/>
  </r>
  <r>
    <x v="524"/>
    <x v="512"/>
    <x v="1"/>
    <x v="19"/>
    <n v="1899"/>
    <n v="0.74"/>
    <n v="4.0999999999999996"/>
    <n v="412"/>
  </r>
  <r>
    <x v="525"/>
    <x v="513"/>
    <x v="1"/>
    <x v="19"/>
    <n v="3499"/>
    <n v="0.74"/>
    <n v="3"/>
    <n v="681"/>
  </r>
  <r>
    <x v="526"/>
    <x v="514"/>
    <x v="1"/>
    <x v="20"/>
    <n v="3499"/>
    <n v="0.54"/>
    <n v="4"/>
    <n v="36384"/>
  </r>
  <r>
    <x v="527"/>
    <x v="515"/>
    <x v="1"/>
    <x v="11"/>
    <n v="999"/>
    <n v="0.88"/>
    <n v="3.9"/>
    <n v="6491"/>
  </r>
  <r>
    <x v="528"/>
    <x v="516"/>
    <x v="1"/>
    <x v="19"/>
    <n v="6999"/>
    <n v="0.43"/>
    <n v="4.0999999999999996"/>
    <n v="10229"/>
  </r>
  <r>
    <x v="529"/>
    <x v="470"/>
    <x v="1"/>
    <x v="21"/>
    <n v="18999"/>
    <n v="0.32"/>
    <n v="4.0999999999999996"/>
    <n v="50772"/>
  </r>
  <r>
    <x v="530"/>
    <x v="517"/>
    <x v="1"/>
    <x v="37"/>
    <n v="2599"/>
    <n v="0.38"/>
    <n v="4.3"/>
    <n v="1801"/>
  </r>
  <r>
    <x v="531"/>
    <x v="518"/>
    <x v="1"/>
    <x v="27"/>
    <n v="1199"/>
    <n v="0.42"/>
    <n v="4"/>
    <n v="14404"/>
  </r>
  <r>
    <x v="532"/>
    <x v="519"/>
    <x v="1"/>
    <x v="41"/>
    <n v="999"/>
    <n v="0.9"/>
    <n v="4.4000000000000004"/>
    <n v="305"/>
  </r>
  <r>
    <x v="533"/>
    <x v="520"/>
    <x v="1"/>
    <x v="21"/>
    <n v="9999"/>
    <n v="0.21"/>
    <n v="4.3"/>
    <n v="1376"/>
  </r>
  <r>
    <x v="534"/>
    <x v="521"/>
    <x v="1"/>
    <x v="19"/>
    <n v="7999"/>
    <n v="0.81"/>
    <n v="4.2"/>
    <n v="22638"/>
  </r>
  <r>
    <x v="535"/>
    <x v="522"/>
    <x v="1"/>
    <x v="23"/>
    <n v="1249"/>
    <n v="0.16"/>
    <n v="3.8"/>
    <n v="2352"/>
  </r>
  <r>
    <x v="536"/>
    <x v="523"/>
    <x v="1"/>
    <x v="34"/>
    <n v="599"/>
    <n v="0.75"/>
    <n v="4.3"/>
    <n v="714"/>
  </r>
  <r>
    <x v="537"/>
    <x v="524"/>
    <x v="1"/>
    <x v="37"/>
    <n v="1799"/>
    <n v="0.74"/>
    <n v="4.3"/>
    <n v="1454"/>
  </r>
  <r>
    <x v="538"/>
    <x v="525"/>
    <x v="1"/>
    <x v="27"/>
    <n v="599"/>
    <n v="0.6"/>
    <n v="3.9"/>
    <n v="2147"/>
  </r>
  <r>
    <x v="539"/>
    <x v="526"/>
    <x v="1"/>
    <x v="21"/>
    <n v="9499"/>
    <n v="0.21"/>
    <n v="4.0999999999999996"/>
    <n v="313832"/>
  </r>
  <r>
    <x v="540"/>
    <x v="527"/>
    <x v="1"/>
    <x v="19"/>
    <n v="999"/>
    <n v="0.73"/>
    <n v="3.7"/>
    <n v="465"/>
  </r>
  <r>
    <x v="541"/>
    <x v="528"/>
    <x v="1"/>
    <x v="21"/>
    <n v="74999"/>
    <n v="0.49"/>
    <n v="4.2"/>
    <n v="27790"/>
  </r>
  <r>
    <x v="542"/>
    <x v="529"/>
    <x v="1"/>
    <x v="30"/>
    <n v="3999"/>
    <n v="0.55000000000000004"/>
    <n v="4.5999999999999996"/>
    <n v="245"/>
  </r>
  <r>
    <x v="543"/>
    <x v="530"/>
    <x v="1"/>
    <x v="21"/>
    <n v="11999"/>
    <n v="0.28999999999999998"/>
    <n v="3.9"/>
    <n v="276"/>
  </r>
  <r>
    <x v="544"/>
    <x v="531"/>
    <x v="1"/>
    <x v="19"/>
    <n v="3999"/>
    <n v="0.5"/>
    <n v="4"/>
    <n v="30254"/>
  </r>
  <r>
    <x v="545"/>
    <x v="367"/>
    <x v="1"/>
    <x v="19"/>
    <n v="17999"/>
    <n v="0.78"/>
    <n v="4.3"/>
    <n v="17161"/>
  </r>
  <r>
    <x v="546"/>
    <x v="532"/>
    <x v="1"/>
    <x v="27"/>
    <n v="499"/>
    <n v="0.56000000000000005"/>
    <n v="4.4000000000000004"/>
    <n v="14"/>
  </r>
  <r>
    <x v="547"/>
    <x v="533"/>
    <x v="1"/>
    <x v="30"/>
    <n v="1399"/>
    <n v="0.56999999999999995"/>
    <n v="4.0999999999999996"/>
    <n v="14560"/>
  </r>
  <r>
    <x v="548"/>
    <x v="534"/>
    <x v="1"/>
    <x v="20"/>
    <n v="2999"/>
    <n v="0.17"/>
    <n v="4.0999999999999996"/>
    <n v="3156"/>
  </r>
  <r>
    <x v="549"/>
    <x v="535"/>
    <x v="1"/>
    <x v="42"/>
    <n v="499"/>
    <n v="0.82"/>
    <n v="4.0999999999999996"/>
    <n v="9340"/>
  </r>
  <r>
    <x v="550"/>
    <x v="536"/>
    <x v="1"/>
    <x v="19"/>
    <n v="11999"/>
    <n v="0.75"/>
    <n v="4.4000000000000004"/>
    <n v="768"/>
  </r>
  <r>
    <x v="551"/>
    <x v="537"/>
    <x v="1"/>
    <x v="31"/>
    <n v="1499"/>
    <n v="0.79"/>
    <n v="4.5"/>
    <n v="28978"/>
  </r>
  <r>
    <x v="552"/>
    <x v="538"/>
    <x v="1"/>
    <x v="21"/>
    <n v="19499"/>
    <n v="0.28000000000000003"/>
    <n v="4.0999999999999996"/>
    <n v="18998"/>
  </r>
  <r>
    <x v="553"/>
    <x v="539"/>
    <x v="1"/>
    <x v="28"/>
    <n v="499"/>
    <n v="0.72"/>
    <n v="4.2"/>
    <n v="4971"/>
  </r>
  <r>
    <x v="554"/>
    <x v="540"/>
    <x v="1"/>
    <x v="35"/>
    <n v="6999"/>
    <n v="0.63"/>
    <n v="4.5"/>
    <n v="1526"/>
  </r>
  <r>
    <x v="555"/>
    <x v="541"/>
    <x v="1"/>
    <x v="24"/>
    <n v="999"/>
    <n v="0.63"/>
    <n v="4.0999999999999996"/>
    <n v="363711"/>
  </r>
  <r>
    <x v="556"/>
    <x v="542"/>
    <x v="1"/>
    <x v="24"/>
    <n v="4490"/>
    <n v="0.67"/>
    <n v="3.9"/>
    <n v="136954"/>
  </r>
  <r>
    <x v="557"/>
    <x v="543"/>
    <x v="0"/>
    <x v="43"/>
    <n v="650"/>
    <n v="0.56000000000000005"/>
    <n v="4.3"/>
    <n v="253105"/>
  </r>
  <r>
    <x v="558"/>
    <x v="544"/>
    <x v="0"/>
    <x v="44"/>
    <n v="895"/>
    <n v="0.33"/>
    <n v="4.4000000000000004"/>
    <n v="61314"/>
  </r>
  <r>
    <x v="559"/>
    <x v="545"/>
    <x v="0"/>
    <x v="45"/>
    <n v="237"/>
    <n v="0.08"/>
    <n v="3.8"/>
    <n v="7354"/>
  </r>
  <r>
    <x v="560"/>
    <x v="546"/>
    <x v="1"/>
    <x v="24"/>
    <n v="2990"/>
    <n v="0.56999999999999995"/>
    <n v="3.8"/>
    <n v="180998"/>
  </r>
  <r>
    <x v="561"/>
    <x v="547"/>
    <x v="0"/>
    <x v="46"/>
    <n v="699"/>
    <n v="0.62"/>
    <n v="3.5"/>
    <n v="690"/>
  </r>
  <r>
    <x v="562"/>
    <x v="548"/>
    <x v="1"/>
    <x v="24"/>
    <n v="3990"/>
    <n v="0.65"/>
    <n v="4.0999999999999996"/>
    <n v="141841"/>
  </r>
  <r>
    <x v="563"/>
    <x v="549"/>
    <x v="0"/>
    <x v="47"/>
    <n v="1499"/>
    <n v="0.77"/>
    <n v="4.3"/>
    <n v="24791"/>
  </r>
  <r>
    <x v="564"/>
    <x v="550"/>
    <x v="1"/>
    <x v="24"/>
    <n v="399"/>
    <n v="0.63"/>
    <n v="3.5"/>
    <n v="21764"/>
  </r>
  <r>
    <x v="565"/>
    <x v="551"/>
    <x v="1"/>
    <x v="39"/>
    <n v="3990"/>
    <n v="0.69"/>
    <n v="4.0999999999999996"/>
    <n v="107151"/>
  </r>
  <r>
    <x v="566"/>
    <x v="552"/>
    <x v="1"/>
    <x v="24"/>
    <n v="999"/>
    <n v="0.5"/>
    <n v="3.9"/>
    <n v="92995"/>
  </r>
  <r>
    <x v="567"/>
    <x v="553"/>
    <x v="0"/>
    <x v="32"/>
    <n v="999"/>
    <n v="0.9"/>
    <n v="4.0999999999999996"/>
    <n v="8751"/>
  </r>
  <r>
    <x v="568"/>
    <x v="554"/>
    <x v="0"/>
    <x v="43"/>
    <n v="1500"/>
    <n v="0.68"/>
    <n v="4.2"/>
    <n v="64273"/>
  </r>
  <r>
    <x v="569"/>
    <x v="555"/>
    <x v="0"/>
    <x v="44"/>
    <n v="649"/>
    <n v="0.59"/>
    <n v="4.3"/>
    <n v="54315"/>
  </r>
  <r>
    <x v="570"/>
    <x v="556"/>
    <x v="0"/>
    <x v="44"/>
    <n v="599"/>
    <n v="0.5"/>
    <n v="4.0999999999999996"/>
    <n v="1597"/>
  </r>
  <r>
    <x v="571"/>
    <x v="557"/>
    <x v="1"/>
    <x v="24"/>
    <n v="999"/>
    <n v="0.67"/>
    <n v="3.9"/>
    <n v="77027"/>
  </r>
  <r>
    <x v="572"/>
    <x v="558"/>
    <x v="0"/>
    <x v="48"/>
    <n v="1799"/>
    <n v="0.69"/>
    <n v="4.3"/>
    <n v="28829"/>
  </r>
  <r>
    <x v="573"/>
    <x v="559"/>
    <x v="0"/>
    <x v="44"/>
    <n v="650"/>
    <n v="0.54"/>
    <n v="4.5"/>
    <n v="33176"/>
  </r>
  <r>
    <x v="574"/>
    <x v="560"/>
    <x v="2"/>
    <x v="49"/>
    <n v="1995"/>
    <n v="0.6"/>
    <n v="4"/>
    <n v="68664"/>
  </r>
  <r>
    <x v="575"/>
    <x v="561"/>
    <x v="1"/>
    <x v="50"/>
    <n v="315"/>
    <n v="0.16"/>
    <n v="4.5"/>
    <n v="28030"/>
  </r>
  <r>
    <x v="576"/>
    <x v="562"/>
    <x v="3"/>
    <x v="51"/>
    <n v="50"/>
    <n v="0"/>
    <n v="4.3"/>
    <n v="5792"/>
  </r>
  <r>
    <x v="577"/>
    <x v="563"/>
    <x v="4"/>
    <x v="52"/>
    <n v="165"/>
    <n v="0.21"/>
    <n v="3.9"/>
    <n v="14778"/>
  </r>
  <r>
    <x v="578"/>
    <x v="564"/>
    <x v="1"/>
    <x v="24"/>
    <n v="1290"/>
    <n v="0.65"/>
    <n v="4.0999999999999996"/>
    <n v="91770"/>
  </r>
  <r>
    <x v="579"/>
    <x v="565"/>
    <x v="1"/>
    <x v="24"/>
    <n v="1290"/>
    <n v="0.69"/>
    <n v="4.2"/>
    <n v="206"/>
  </r>
  <r>
    <x v="580"/>
    <x v="566"/>
    <x v="0"/>
    <x v="53"/>
    <n v="2498"/>
    <n v="0.44"/>
    <n v="4.2"/>
    <n v="33717"/>
  </r>
  <r>
    <x v="581"/>
    <x v="567"/>
    <x v="0"/>
    <x v="54"/>
    <n v="4999"/>
    <n v="0.18"/>
    <n v="4.5"/>
    <n v="50810"/>
  </r>
  <r>
    <x v="582"/>
    <x v="568"/>
    <x v="1"/>
    <x v="55"/>
    <n v="1999"/>
    <n v="0.75"/>
    <n v="3.7"/>
    <n v="3369"/>
  </r>
  <r>
    <x v="583"/>
    <x v="569"/>
    <x v="0"/>
    <x v="44"/>
    <n v="449"/>
    <n v="0.33"/>
    <n v="3.5"/>
    <n v="11827"/>
  </r>
  <r>
    <x v="584"/>
    <x v="570"/>
    <x v="0"/>
    <x v="53"/>
    <n v="999"/>
    <n v="0.3"/>
    <n v="3.5"/>
    <n v="15295"/>
  </r>
  <r>
    <x v="585"/>
    <x v="571"/>
    <x v="1"/>
    <x v="56"/>
    <n v="3990"/>
    <n v="0.8"/>
    <n v="4.3"/>
    <n v="27139"/>
  </r>
  <r>
    <x v="586"/>
    <x v="572"/>
    <x v="1"/>
    <x v="24"/>
    <n v="5499"/>
    <n v="0.75"/>
    <n v="3.9"/>
    <n v="9504"/>
  </r>
  <r>
    <x v="587"/>
    <x v="573"/>
    <x v="0"/>
    <x v="43"/>
    <n v="1350"/>
    <n v="0.62"/>
    <n v="4.3"/>
    <n v="30058"/>
  </r>
  <r>
    <x v="588"/>
    <x v="574"/>
    <x v="1"/>
    <x v="24"/>
    <n v="3990"/>
    <n v="0.62"/>
    <n v="4.0999999999999996"/>
    <n v="109864"/>
  </r>
  <r>
    <x v="589"/>
    <x v="575"/>
    <x v="3"/>
    <x v="57"/>
    <n v="1295"/>
    <n v="0"/>
    <n v="4.5"/>
    <n v="5760"/>
  </r>
  <r>
    <x v="590"/>
    <x v="576"/>
    <x v="0"/>
    <x v="58"/>
    <n v="5499"/>
    <n v="0.66"/>
    <n v="4.2"/>
    <n v="49551"/>
  </r>
  <r>
    <x v="591"/>
    <x v="577"/>
    <x v="1"/>
    <x v="24"/>
    <n v="1490"/>
    <n v="0.69"/>
    <n v="4.0999999999999996"/>
    <n v="161677"/>
  </r>
  <r>
    <x v="592"/>
    <x v="578"/>
    <x v="1"/>
    <x v="59"/>
    <n v="995"/>
    <n v="0.6"/>
    <n v="3.9"/>
    <n v="21372"/>
  </r>
  <r>
    <x v="593"/>
    <x v="579"/>
    <x v="0"/>
    <x v="60"/>
    <n v="761"/>
    <n v="0.06"/>
    <n v="4"/>
    <n v="7199"/>
  </r>
  <r>
    <x v="594"/>
    <x v="580"/>
    <x v="0"/>
    <x v="61"/>
    <n v="299"/>
    <n v="0.87"/>
    <n v="3.5"/>
    <n v="15233"/>
  </r>
  <r>
    <x v="595"/>
    <x v="581"/>
    <x v="0"/>
    <x v="43"/>
    <n v="2500"/>
    <n v="0.64"/>
    <n v="4.3"/>
    <n v="55747"/>
  </r>
  <r>
    <x v="596"/>
    <x v="582"/>
    <x v="1"/>
    <x v="24"/>
    <n v="4999"/>
    <n v="0.76"/>
    <n v="3.8"/>
    <n v="14961"/>
  </r>
  <r>
    <x v="597"/>
    <x v="583"/>
    <x v="0"/>
    <x v="44"/>
    <n v="1299"/>
    <n v="0.56000000000000005"/>
    <n v="4.4000000000000004"/>
    <n v="9275"/>
  </r>
  <r>
    <x v="598"/>
    <x v="584"/>
    <x v="1"/>
    <x v="24"/>
    <n v="8999"/>
    <n v="0.83"/>
    <n v="3.7"/>
    <n v="28324"/>
  </r>
  <r>
    <x v="599"/>
    <x v="585"/>
    <x v="1"/>
    <x v="50"/>
    <n v="180"/>
    <n v="0.17"/>
    <n v="4.4000000000000004"/>
    <n v="644"/>
  </r>
  <r>
    <x v="600"/>
    <x v="586"/>
    <x v="0"/>
    <x v="62"/>
    <n v="549"/>
    <n v="0.27"/>
    <n v="4.4000000000000004"/>
    <n v="18139"/>
  </r>
  <r>
    <x v="601"/>
    <x v="587"/>
    <x v="4"/>
    <x v="63"/>
    <n v="225"/>
    <n v="0.15"/>
    <n v="4.4000000000000004"/>
    <n v="7203"/>
  </r>
  <r>
    <x v="602"/>
    <x v="588"/>
    <x v="0"/>
    <x v="64"/>
    <n v="999"/>
    <n v="0.87"/>
    <n v="4.2"/>
    <n v="491"/>
  </r>
  <r>
    <x v="603"/>
    <x v="589"/>
    <x v="0"/>
    <x v="65"/>
    <n v="599"/>
    <n v="0.67"/>
    <n v="4.5"/>
    <n v="13568"/>
  </r>
  <r>
    <x v="604"/>
    <x v="590"/>
    <x v="1"/>
    <x v="24"/>
    <n v="4499"/>
    <n v="0.78"/>
    <n v="3.8"/>
    <n v="3390"/>
  </r>
  <r>
    <x v="605"/>
    <x v="591"/>
    <x v="1"/>
    <x v="24"/>
    <n v="4499"/>
    <n v="0.8"/>
    <n v="3.8"/>
    <n v="103052"/>
  </r>
  <r>
    <x v="606"/>
    <x v="592"/>
    <x v="3"/>
    <x v="57"/>
    <n v="550"/>
    <n v="0.05"/>
    <n v="4.4000000000000004"/>
    <n v="12179"/>
  </r>
  <r>
    <x v="607"/>
    <x v="593"/>
    <x v="1"/>
    <x v="66"/>
    <n v="1999"/>
    <n v="0.6"/>
    <n v="3.8"/>
    <n v="12958"/>
  </r>
  <r>
    <x v="608"/>
    <x v="594"/>
    <x v="0"/>
    <x v="44"/>
    <n v="1199"/>
    <n v="0.43"/>
    <n v="4.2"/>
    <n v="8258"/>
  </r>
  <r>
    <x v="609"/>
    <x v="595"/>
    <x v="0"/>
    <x v="67"/>
    <n v="3490"/>
    <n v="0.66"/>
    <n v="4.0999999999999996"/>
    <n v="11716"/>
  </r>
  <r>
    <x v="610"/>
    <x v="596"/>
    <x v="0"/>
    <x v="68"/>
    <n v="4999"/>
    <n v="0.5"/>
    <n v="4.4000000000000004"/>
    <n v="35024"/>
  </r>
  <r>
    <x v="611"/>
    <x v="597"/>
    <x v="1"/>
    <x v="69"/>
    <n v="4999"/>
    <n v="0.64"/>
    <n v="4.0999999999999996"/>
    <n v="55192"/>
  </r>
  <r>
    <x v="612"/>
    <x v="598"/>
    <x v="1"/>
    <x v="24"/>
    <n v="599"/>
    <n v="0.28000000000000003"/>
    <n v="4.0999999999999996"/>
    <n v="119466"/>
  </r>
  <r>
    <x v="613"/>
    <x v="599"/>
    <x v="0"/>
    <x v="45"/>
    <n v="499"/>
    <n v="0.8"/>
    <n v="3.5"/>
    <n v="9638"/>
  </r>
  <r>
    <x v="614"/>
    <x v="600"/>
    <x v="0"/>
    <x v="48"/>
    <n v="399"/>
    <n v="0.18"/>
    <n v="3.6"/>
    <n v="33735"/>
  </r>
  <r>
    <x v="615"/>
    <x v="601"/>
    <x v="0"/>
    <x v="44"/>
    <n v="299"/>
    <n v="0.54"/>
    <n v="3.8"/>
    <n v="3044"/>
  </r>
  <r>
    <x v="616"/>
    <x v="602"/>
    <x v="1"/>
    <x v="39"/>
    <n v="2499"/>
    <n v="0.52"/>
    <n v="4"/>
    <n v="33584"/>
  </r>
  <r>
    <x v="617"/>
    <x v="603"/>
    <x v="1"/>
    <x v="70"/>
    <n v="2299"/>
    <n v="0.54"/>
    <n v="3.9"/>
    <n v="1779"/>
  </r>
  <r>
    <x v="618"/>
    <x v="604"/>
    <x v="1"/>
    <x v="67"/>
    <n v="250"/>
    <n v="0.1"/>
    <n v="4.4000000000000004"/>
    <n v="26556"/>
  </r>
  <r>
    <x v="619"/>
    <x v="605"/>
    <x v="0"/>
    <x v="46"/>
    <n v="1499"/>
    <n v="0.56000000000000005"/>
    <n v="4.3"/>
    <n v="25903"/>
  </r>
  <r>
    <x v="620"/>
    <x v="606"/>
    <x v="0"/>
    <x v="43"/>
    <n v="2800"/>
    <n v="0.6"/>
    <n v="4.3"/>
    <n v="53464"/>
  </r>
  <r>
    <x v="621"/>
    <x v="607"/>
    <x v="0"/>
    <x v="64"/>
    <n v="299"/>
    <n v="0.43"/>
    <n v="4.4000000000000004"/>
    <n v="5176"/>
  </r>
  <r>
    <x v="622"/>
    <x v="608"/>
    <x v="0"/>
    <x v="60"/>
    <n v="404"/>
    <n v="0.24"/>
    <n v="4.4000000000000004"/>
    <n v="8614"/>
  </r>
  <r>
    <x v="623"/>
    <x v="609"/>
    <x v="1"/>
    <x v="39"/>
    <n v="1399"/>
    <n v="0.56999999999999995"/>
    <n v="3.8"/>
    <n v="60026"/>
  </r>
  <r>
    <x v="624"/>
    <x v="610"/>
    <x v="0"/>
    <x v="48"/>
    <n v="599"/>
    <n v="0.5"/>
    <n v="3.8"/>
    <n v="3066"/>
  </r>
  <r>
    <x v="625"/>
    <x v="611"/>
    <x v="0"/>
    <x v="46"/>
    <n v="999"/>
    <n v="0.55000000000000004"/>
    <n v="4"/>
    <n v="2102"/>
  </r>
  <r>
    <x v="626"/>
    <x v="612"/>
    <x v="0"/>
    <x v="44"/>
    <n v="1295"/>
    <n v="0.38"/>
    <n v="4.4000000000000004"/>
    <n v="34852"/>
  </r>
  <r>
    <x v="627"/>
    <x v="613"/>
    <x v="3"/>
    <x v="71"/>
    <n v="160"/>
    <n v="0.02"/>
    <n v="4.5"/>
    <n v="8618"/>
  </r>
  <r>
    <x v="628"/>
    <x v="614"/>
    <x v="0"/>
    <x v="44"/>
    <n v="899"/>
    <n v="0.33"/>
    <n v="4"/>
    <n v="4018"/>
  </r>
  <r>
    <x v="629"/>
    <x v="615"/>
    <x v="1"/>
    <x v="72"/>
    <n v="599"/>
    <n v="0.2"/>
    <n v="4.3"/>
    <n v="11687"/>
  </r>
  <r>
    <x v="630"/>
    <x v="616"/>
    <x v="1"/>
    <x v="24"/>
    <n v="2990"/>
    <n v="0.47"/>
    <n v="3.8"/>
    <n v="11015"/>
  </r>
  <r>
    <x v="631"/>
    <x v="617"/>
    <x v="0"/>
    <x v="73"/>
    <n v="899"/>
    <n v="0.33"/>
    <n v="4.3"/>
    <n v="95116"/>
  </r>
  <r>
    <x v="632"/>
    <x v="618"/>
    <x v="0"/>
    <x v="43"/>
    <n v="3000"/>
    <n v="0.56999999999999995"/>
    <n v="4.3"/>
    <n v="23022"/>
  </r>
  <r>
    <x v="633"/>
    <x v="619"/>
    <x v="0"/>
    <x v="74"/>
    <n v="4999"/>
    <n v="0.94"/>
    <n v="4.3"/>
    <n v="4426"/>
  </r>
  <r>
    <x v="634"/>
    <x v="620"/>
    <x v="0"/>
    <x v="60"/>
    <n v="861"/>
    <n v="0.04"/>
    <n v="4.2"/>
    <n v="4567"/>
  </r>
  <r>
    <x v="635"/>
    <x v="621"/>
    <x v="1"/>
    <x v="39"/>
    <n v="795"/>
    <n v="0.06"/>
    <n v="4"/>
    <n v="13797"/>
  </r>
  <r>
    <x v="636"/>
    <x v="622"/>
    <x v="1"/>
    <x v="75"/>
    <n v="2495"/>
    <n v="0.38"/>
    <n v="4.4000000000000004"/>
    <n v="15137"/>
  </r>
  <r>
    <x v="637"/>
    <x v="623"/>
    <x v="0"/>
    <x v="58"/>
    <n v="2499"/>
    <n v="0.41"/>
    <n v="4.2"/>
    <n v="156638"/>
  </r>
  <r>
    <x v="638"/>
    <x v="624"/>
    <x v="3"/>
    <x v="76"/>
    <n v="800"/>
    <n v="0.75"/>
    <n v="4.0999999999999996"/>
    <n v="9344"/>
  </r>
  <r>
    <x v="639"/>
    <x v="625"/>
    <x v="1"/>
    <x v="77"/>
    <n v="549"/>
    <n v="0"/>
    <n v="4.5"/>
    <n v="4875"/>
  </r>
  <r>
    <x v="640"/>
    <x v="626"/>
    <x v="1"/>
    <x v="19"/>
    <n v="29999"/>
    <n v="0.6"/>
    <n v="4.3"/>
    <n v="4744"/>
  </r>
  <r>
    <x v="641"/>
    <x v="627"/>
    <x v="1"/>
    <x v="24"/>
    <n v="3499"/>
    <n v="0.63"/>
    <n v="3.9"/>
    <n v="12452"/>
  </r>
  <r>
    <x v="642"/>
    <x v="628"/>
    <x v="1"/>
    <x v="50"/>
    <n v="315"/>
    <n v="0.15"/>
    <n v="4.5"/>
    <n v="17810"/>
  </r>
  <r>
    <x v="643"/>
    <x v="629"/>
    <x v="1"/>
    <x v="24"/>
    <n v="1499"/>
    <n v="0.47"/>
    <n v="4.0999999999999996"/>
    <n v="53648"/>
  </r>
  <r>
    <x v="644"/>
    <x v="630"/>
    <x v="0"/>
    <x v="67"/>
    <n v="13750"/>
    <n v="0.54"/>
    <n v="4.2"/>
    <n v="2014"/>
  </r>
  <r>
    <x v="645"/>
    <x v="631"/>
    <x v="0"/>
    <x v="78"/>
    <n v="59"/>
    <n v="0"/>
    <n v="3.8"/>
    <n v="5958"/>
  </r>
  <r>
    <x v="646"/>
    <x v="632"/>
    <x v="1"/>
    <x v="25"/>
    <n v="999"/>
    <n v="0.43"/>
    <n v="4.3"/>
    <n v="38221"/>
  </r>
  <r>
    <x v="647"/>
    <x v="633"/>
    <x v="1"/>
    <x v="70"/>
    <n v="999"/>
    <n v="0.45"/>
    <n v="3.9"/>
    <n v="64705"/>
  </r>
  <r>
    <x v="648"/>
    <x v="634"/>
    <x v="0"/>
    <x v="53"/>
    <n v="699"/>
    <n v="0.36"/>
    <n v="3.9"/>
    <n v="17348"/>
  </r>
  <r>
    <x v="649"/>
    <x v="635"/>
    <x v="1"/>
    <x v="24"/>
    <n v="2999"/>
    <n v="0.5"/>
    <n v="3.7"/>
    <n v="87798"/>
  </r>
  <r>
    <x v="650"/>
    <x v="636"/>
    <x v="1"/>
    <x v="79"/>
    <n v="499"/>
    <n v="0.4"/>
    <n v="4.2"/>
    <n v="24432"/>
  </r>
  <r>
    <x v="651"/>
    <x v="637"/>
    <x v="0"/>
    <x v="43"/>
    <n v="1400"/>
    <n v="0.59"/>
    <n v="4.3"/>
    <n v="189104"/>
  </r>
  <r>
    <x v="652"/>
    <x v="638"/>
    <x v="1"/>
    <x v="80"/>
    <n v="3299"/>
    <n v="0.24"/>
    <n v="4.2"/>
    <n v="93112"/>
  </r>
  <r>
    <x v="653"/>
    <x v="639"/>
    <x v="1"/>
    <x v="24"/>
    <n v="5999"/>
    <n v="0.8"/>
    <n v="3.9"/>
    <n v="47521"/>
  </r>
  <r>
    <x v="654"/>
    <x v="640"/>
    <x v="1"/>
    <x v="72"/>
    <n v="499"/>
    <n v="0.2"/>
    <n v="4.3"/>
    <n v="27201"/>
  </r>
  <r>
    <x v="655"/>
    <x v="641"/>
    <x v="0"/>
    <x v="44"/>
    <n v="375"/>
    <n v="0.26"/>
    <n v="4.3"/>
    <n v="31534"/>
  </r>
  <r>
    <x v="656"/>
    <x v="642"/>
    <x v="1"/>
    <x v="19"/>
    <n v="4999"/>
    <n v="0.5"/>
    <n v="3.9"/>
    <n v="7571"/>
  </r>
  <r>
    <x v="657"/>
    <x v="643"/>
    <x v="3"/>
    <x v="71"/>
    <n v="160"/>
    <n v="0.14000000000000001"/>
    <n v="4.4000000000000004"/>
    <n v="6537"/>
  </r>
  <r>
    <x v="658"/>
    <x v="644"/>
    <x v="0"/>
    <x v="65"/>
    <n v="499"/>
    <n v="0.4"/>
    <n v="4.5"/>
    <n v="21010"/>
  </r>
  <r>
    <x v="659"/>
    <x v="645"/>
    <x v="1"/>
    <x v="24"/>
    <n v="3999"/>
    <n v="0.55000000000000004"/>
    <n v="3.9"/>
    <n v="3517"/>
  </r>
  <r>
    <x v="660"/>
    <x v="646"/>
    <x v="1"/>
    <x v="70"/>
    <n v="2999"/>
    <n v="0.33"/>
    <n v="4.3"/>
    <n v="63899"/>
  </r>
  <r>
    <x v="661"/>
    <x v="647"/>
    <x v="0"/>
    <x v="34"/>
    <n v="1499"/>
    <n v="0.73"/>
    <n v="4.0999999999999996"/>
    <n v="5730"/>
  </r>
  <r>
    <x v="662"/>
    <x v="648"/>
    <x v="0"/>
    <x v="81"/>
    <n v="3999"/>
    <n v="0.57999999999999996"/>
    <n v="4.2"/>
    <n v="25488"/>
  </r>
  <r>
    <x v="663"/>
    <x v="649"/>
    <x v="0"/>
    <x v="44"/>
    <n v="995"/>
    <n v="0.3"/>
    <n v="4.5"/>
    <n v="54405"/>
  </r>
  <r>
    <x v="664"/>
    <x v="650"/>
    <x v="0"/>
    <x v="68"/>
    <n v="1699"/>
    <n v="0.32"/>
    <n v="4.2"/>
    <n v="122478"/>
  </r>
  <r>
    <x v="665"/>
    <x v="651"/>
    <x v="0"/>
    <x v="53"/>
    <n v="1995"/>
    <n v="0.25"/>
    <n v="4.3"/>
    <n v="7241"/>
  </r>
  <r>
    <x v="666"/>
    <x v="652"/>
    <x v="0"/>
    <x v="46"/>
    <n v="4999"/>
    <n v="0.83"/>
    <n v="4"/>
    <n v="20457"/>
  </r>
  <r>
    <x v="667"/>
    <x v="653"/>
    <x v="3"/>
    <x v="82"/>
    <n v="440"/>
    <n v="0"/>
    <n v="4.5"/>
    <n v="8610"/>
  </r>
  <r>
    <x v="668"/>
    <x v="654"/>
    <x v="0"/>
    <x v="46"/>
    <n v="3999"/>
    <n v="0.85"/>
    <n v="3.9"/>
    <n v="1087"/>
  </r>
  <r>
    <x v="669"/>
    <x v="655"/>
    <x v="0"/>
    <x v="74"/>
    <n v="399"/>
    <n v="0.63"/>
    <n v="4"/>
    <n v="1540"/>
  </r>
  <r>
    <x v="670"/>
    <x v="656"/>
    <x v="0"/>
    <x v="45"/>
    <n v="999"/>
    <n v="0.71"/>
    <n v="4.0999999999999996"/>
    <n v="401"/>
  </r>
  <r>
    <x v="671"/>
    <x v="657"/>
    <x v="0"/>
    <x v="83"/>
    <n v="499"/>
    <n v="0.64"/>
    <n v="3.4"/>
    <n v="9385"/>
  </r>
  <r>
    <x v="672"/>
    <x v="658"/>
    <x v="1"/>
    <x v="19"/>
    <n v="4999"/>
    <n v="0.7"/>
    <n v="4"/>
    <n v="92588"/>
  </r>
  <r>
    <x v="673"/>
    <x v="659"/>
    <x v="1"/>
    <x v="24"/>
    <n v="699"/>
    <n v="0.43"/>
    <n v="3.4"/>
    <n v="3454"/>
  </r>
  <r>
    <x v="674"/>
    <x v="660"/>
    <x v="0"/>
    <x v="62"/>
    <n v="799"/>
    <n v="0.25"/>
    <n v="4.3"/>
    <n v="15790"/>
  </r>
  <r>
    <x v="675"/>
    <x v="661"/>
    <x v="0"/>
    <x v="84"/>
    <n v="2000"/>
    <n v="0.53"/>
    <n v="3.9"/>
    <n v="14969"/>
  </r>
  <r>
    <x v="676"/>
    <x v="662"/>
    <x v="1"/>
    <x v="19"/>
    <n v="9999"/>
    <n v="0.75"/>
    <n v="4.0999999999999996"/>
    <n v="42139"/>
  </r>
  <r>
    <x v="677"/>
    <x v="663"/>
    <x v="1"/>
    <x v="50"/>
    <n v="180"/>
    <n v="0.12"/>
    <n v="4.3"/>
    <n v="989"/>
  </r>
  <r>
    <x v="678"/>
    <x v="664"/>
    <x v="1"/>
    <x v="22"/>
    <n v="2900"/>
    <n v="0.54"/>
    <n v="4.5"/>
    <n v="19624"/>
  </r>
  <r>
    <x v="679"/>
    <x v="665"/>
    <x v="0"/>
    <x v="83"/>
    <n v="999"/>
    <n v="0.43"/>
    <n v="4.2"/>
    <n v="3201"/>
  </r>
  <r>
    <x v="680"/>
    <x v="666"/>
    <x v="1"/>
    <x v="85"/>
    <n v="1999"/>
    <n v="0.55000000000000004"/>
    <n v="4.0999999999999996"/>
    <n v="30469"/>
  </r>
  <r>
    <x v="681"/>
    <x v="667"/>
    <x v="0"/>
    <x v="86"/>
    <n v="999"/>
    <n v="0.55000000000000004"/>
    <n v="4.4000000000000004"/>
    <n v="9940"/>
  </r>
  <r>
    <x v="682"/>
    <x v="668"/>
    <x v="0"/>
    <x v="87"/>
    <n v="999"/>
    <n v="0.45"/>
    <n v="4.3"/>
    <n v="7758"/>
  </r>
  <r>
    <x v="683"/>
    <x v="669"/>
    <x v="0"/>
    <x v="68"/>
    <n v="2399"/>
    <n v="0.36"/>
    <n v="4.3"/>
    <n v="68409"/>
  </r>
  <r>
    <x v="684"/>
    <x v="670"/>
    <x v="3"/>
    <x v="88"/>
    <n v="100"/>
    <n v="0"/>
    <n v="4.3"/>
    <n v="3095"/>
  </r>
  <r>
    <x v="685"/>
    <x v="671"/>
    <x v="0"/>
    <x v="47"/>
    <n v="1499"/>
    <n v="0.8"/>
    <n v="4.2"/>
    <n v="903"/>
  </r>
  <r>
    <x v="686"/>
    <x v="672"/>
    <x v="0"/>
    <x v="53"/>
    <n v="1795"/>
    <n v="0.28000000000000003"/>
    <n v="4.0999999999999996"/>
    <n v="25771"/>
  </r>
  <r>
    <x v="687"/>
    <x v="673"/>
    <x v="1"/>
    <x v="24"/>
    <n v="999"/>
    <n v="0.3"/>
    <n v="4.0999999999999996"/>
    <n v="273189"/>
  </r>
  <r>
    <x v="688"/>
    <x v="674"/>
    <x v="3"/>
    <x v="89"/>
    <n v="315"/>
    <n v="0.2"/>
    <n v="4.5"/>
    <n v="3785"/>
  </r>
  <r>
    <x v="689"/>
    <x v="675"/>
    <x v="1"/>
    <x v="50"/>
    <n v="220"/>
    <n v="0.14000000000000001"/>
    <n v="4.4000000000000004"/>
    <n v="2866"/>
  </r>
  <r>
    <x v="690"/>
    <x v="676"/>
    <x v="0"/>
    <x v="53"/>
    <n v="1599"/>
    <n v="0.19"/>
    <n v="4.3"/>
    <n v="27223"/>
  </r>
  <r>
    <x v="691"/>
    <x v="677"/>
    <x v="0"/>
    <x v="43"/>
    <n v="1650"/>
    <n v="0.56000000000000005"/>
    <n v="4.3"/>
    <n v="82356"/>
  </r>
  <r>
    <x v="692"/>
    <x v="678"/>
    <x v="3"/>
    <x v="90"/>
    <n v="600"/>
    <n v="0.2"/>
    <n v="4.3"/>
    <n v="5719"/>
  </r>
  <r>
    <x v="693"/>
    <x v="679"/>
    <x v="0"/>
    <x v="46"/>
    <n v="2499"/>
    <n v="0.6"/>
    <n v="4.3"/>
    <n v="1690"/>
  </r>
  <r>
    <x v="694"/>
    <x v="680"/>
    <x v="0"/>
    <x v="91"/>
    <n v="699"/>
    <n v="0.66"/>
    <n v="4.4000000000000004"/>
    <n v="8372"/>
  </r>
  <r>
    <x v="695"/>
    <x v="681"/>
    <x v="0"/>
    <x v="53"/>
    <n v="2198"/>
    <n v="0.39"/>
    <n v="4"/>
    <n v="7113"/>
  </r>
  <r>
    <x v="696"/>
    <x v="682"/>
    <x v="0"/>
    <x v="84"/>
    <n v="499"/>
    <n v="0.6"/>
    <n v="3.3"/>
    <n v="2804"/>
  </r>
  <r>
    <x v="697"/>
    <x v="683"/>
    <x v="1"/>
    <x v="24"/>
    <n v="9999"/>
    <n v="0.8"/>
    <n v="3.7"/>
    <n v="1986"/>
  </r>
  <r>
    <x v="698"/>
    <x v="684"/>
    <x v="1"/>
    <x v="31"/>
    <n v="499"/>
    <n v="0.8"/>
    <n v="4.0999999999999996"/>
    <n v="2451"/>
  </r>
  <r>
    <x v="699"/>
    <x v="685"/>
    <x v="0"/>
    <x v="44"/>
    <n v="1000"/>
    <n v="0.5"/>
    <n v="5"/>
    <n v="23"/>
  </r>
  <r>
    <x v="700"/>
    <x v="686"/>
    <x v="0"/>
    <x v="92"/>
    <n v="3500"/>
    <n v="0.49"/>
    <n v="4.5"/>
    <n v="26194"/>
  </r>
  <r>
    <x v="701"/>
    <x v="687"/>
    <x v="0"/>
    <x v="93"/>
    <n v="4100"/>
    <n v="0.2"/>
    <n v="3.9"/>
    <n v="15783"/>
  </r>
  <r>
    <x v="702"/>
    <x v="688"/>
    <x v="3"/>
    <x v="89"/>
    <n v="180"/>
    <n v="0.31"/>
    <n v="4.4000000000000004"/>
    <n v="8053"/>
  </r>
  <r>
    <x v="703"/>
    <x v="689"/>
    <x v="0"/>
    <x v="44"/>
    <n v="1190"/>
    <n v="0.66"/>
    <n v="4.0999999999999996"/>
    <n v="2809"/>
  </r>
  <r>
    <x v="704"/>
    <x v="690"/>
    <x v="1"/>
    <x v="24"/>
    <n v="7999"/>
    <n v="0.85"/>
    <n v="3.6"/>
    <n v="25910"/>
  </r>
  <r>
    <x v="705"/>
    <x v="691"/>
    <x v="0"/>
    <x v="45"/>
    <n v="1599"/>
    <n v="0.85"/>
    <n v="3.8"/>
    <n v="1173"/>
  </r>
  <r>
    <x v="706"/>
    <x v="692"/>
    <x v="0"/>
    <x v="46"/>
    <n v="1999"/>
    <n v="0.73"/>
    <n v="3.6"/>
    <n v="6422"/>
  </r>
  <r>
    <x v="707"/>
    <x v="693"/>
    <x v="0"/>
    <x v="78"/>
    <n v="99"/>
    <n v="0.1"/>
    <n v="4.2"/>
    <n v="241"/>
  </r>
  <r>
    <x v="708"/>
    <x v="694"/>
    <x v="1"/>
    <x v="24"/>
    <n v="2999"/>
    <n v="0.56999999999999995"/>
    <n v="3.8"/>
    <n v="14629"/>
  </r>
  <r>
    <x v="709"/>
    <x v="695"/>
    <x v="0"/>
    <x v="64"/>
    <n v="999"/>
    <n v="0.77"/>
    <n v="4.2"/>
    <n v="1528"/>
  </r>
  <r>
    <x v="710"/>
    <x v="696"/>
    <x v="1"/>
    <x v="94"/>
    <n v="499"/>
    <n v="0.76"/>
    <n v="4.3"/>
    <n v="15032"/>
  </r>
  <r>
    <x v="711"/>
    <x v="697"/>
    <x v="1"/>
    <x v="95"/>
    <n v="800"/>
    <n v="0.44"/>
    <n v="4.4000000000000004"/>
    <n v="69585"/>
  </r>
  <r>
    <x v="712"/>
    <x v="698"/>
    <x v="1"/>
    <x v="96"/>
    <n v="3495"/>
    <n v="0.51"/>
    <n v="4.0999999999999996"/>
    <n v="14371"/>
  </r>
  <r>
    <x v="713"/>
    <x v="699"/>
    <x v="3"/>
    <x v="89"/>
    <n v="720"/>
    <n v="0.22"/>
    <n v="4.4000000000000004"/>
    <n v="3182"/>
  </r>
  <r>
    <x v="714"/>
    <x v="700"/>
    <x v="0"/>
    <x v="44"/>
    <n v="590"/>
    <n v="0.51"/>
    <n v="4.4000000000000004"/>
    <n v="25886"/>
  </r>
  <r>
    <x v="715"/>
    <x v="701"/>
    <x v="0"/>
    <x v="47"/>
    <n v="1999"/>
    <n v="0.7"/>
    <n v="4.4000000000000004"/>
    <n v="4736"/>
  </r>
  <r>
    <x v="716"/>
    <x v="702"/>
    <x v="0"/>
    <x v="54"/>
    <n v="7350"/>
    <n v="0.24"/>
    <n v="4.4000000000000004"/>
    <n v="73005"/>
  </r>
  <r>
    <x v="717"/>
    <x v="703"/>
    <x v="0"/>
    <x v="97"/>
    <n v="2595"/>
    <n v="0.23"/>
    <n v="4.3"/>
    <n v="20398"/>
  </r>
  <r>
    <x v="718"/>
    <x v="704"/>
    <x v="0"/>
    <x v="83"/>
    <n v="799"/>
    <n v="0.38"/>
    <n v="4.3"/>
    <n v="2125"/>
  </r>
  <r>
    <x v="719"/>
    <x v="705"/>
    <x v="0"/>
    <x v="86"/>
    <n v="999"/>
    <n v="0.55000000000000004"/>
    <n v="4.3"/>
    <n v="11330"/>
  </r>
  <r>
    <x v="720"/>
    <x v="706"/>
    <x v="0"/>
    <x v="98"/>
    <n v="1999"/>
    <n v="0.5"/>
    <n v="4.2"/>
    <n v="27441"/>
  </r>
  <r>
    <x v="721"/>
    <x v="707"/>
    <x v="0"/>
    <x v="40"/>
    <n v="299"/>
    <n v="0.77"/>
    <n v="4.3"/>
    <n v="255"/>
  </r>
  <r>
    <x v="722"/>
    <x v="708"/>
    <x v="0"/>
    <x v="44"/>
    <n v="1499"/>
    <n v="0.4"/>
    <n v="4.2"/>
    <n v="23174"/>
  </r>
  <r>
    <x v="723"/>
    <x v="709"/>
    <x v="2"/>
    <x v="49"/>
    <n v="699"/>
    <n v="0.32"/>
    <n v="3.8"/>
    <n v="20218"/>
  </r>
  <r>
    <x v="724"/>
    <x v="710"/>
    <x v="0"/>
    <x v="99"/>
    <n v="2490"/>
    <n v="0.44"/>
    <n v="4.3"/>
    <n v="11074"/>
  </r>
  <r>
    <x v="725"/>
    <x v="711"/>
    <x v="0"/>
    <x v="31"/>
    <n v="499"/>
    <n v="0.7"/>
    <n v="4.0999999999999996"/>
    <n v="25607"/>
  </r>
  <r>
    <x v="726"/>
    <x v="712"/>
    <x v="1"/>
    <x v="70"/>
    <n v="4990"/>
    <n v="0.64"/>
    <n v="4.2"/>
    <n v="41226"/>
  </r>
  <r>
    <x v="727"/>
    <x v="713"/>
    <x v="5"/>
    <x v="100"/>
    <n v="999"/>
    <n v="0.56999999999999995"/>
    <n v="4"/>
    <n v="2581"/>
  </r>
  <r>
    <x v="728"/>
    <x v="714"/>
    <x v="1"/>
    <x v="85"/>
    <n v="2490"/>
    <n v="0.6"/>
    <n v="4.0999999999999996"/>
    <n v="18331"/>
  </r>
  <r>
    <x v="729"/>
    <x v="715"/>
    <x v="0"/>
    <x v="45"/>
    <n v="999"/>
    <n v="0.62"/>
    <n v="4.0999999999999996"/>
    <n v="1779"/>
  </r>
  <r>
    <x v="730"/>
    <x v="716"/>
    <x v="3"/>
    <x v="101"/>
    <n v="99"/>
    <n v="0"/>
    <n v="4.3"/>
    <n v="388"/>
  </r>
  <r>
    <x v="731"/>
    <x v="717"/>
    <x v="0"/>
    <x v="68"/>
    <n v="2999"/>
    <n v="0.5"/>
    <n v="4.5"/>
    <n v="8656"/>
  </r>
  <r>
    <x v="732"/>
    <x v="718"/>
    <x v="0"/>
    <x v="102"/>
    <n v="3100"/>
    <n v="0.41"/>
    <n v="4.5"/>
    <n v="92925"/>
  </r>
  <r>
    <x v="733"/>
    <x v="719"/>
    <x v="3"/>
    <x v="89"/>
    <n v="75"/>
    <n v="0.11"/>
    <n v="4.0999999999999996"/>
    <n v="1269"/>
  </r>
  <r>
    <x v="734"/>
    <x v="720"/>
    <x v="0"/>
    <x v="46"/>
    <n v="2699"/>
    <n v="0.3"/>
    <n v="4.3"/>
    <n v="17394"/>
  </r>
  <r>
    <x v="735"/>
    <x v="721"/>
    <x v="1"/>
    <x v="24"/>
    <n v="1499"/>
    <n v="0.67"/>
    <n v="3.6"/>
    <n v="9169"/>
  </r>
  <r>
    <x v="736"/>
    <x v="722"/>
    <x v="0"/>
    <x v="64"/>
    <n v="999"/>
    <n v="0.5"/>
    <n v="4.4000000000000004"/>
    <n v="1030"/>
  </r>
  <r>
    <x v="737"/>
    <x v="723"/>
    <x v="0"/>
    <x v="54"/>
    <n v="7999"/>
    <n v="0.28000000000000003"/>
    <n v="4.5"/>
    <n v="50273"/>
  </r>
  <r>
    <x v="738"/>
    <x v="724"/>
    <x v="1"/>
    <x v="103"/>
    <n v="799"/>
    <n v="0.38"/>
    <n v="3.9"/>
    <n v="6742"/>
  </r>
  <r>
    <x v="739"/>
    <x v="725"/>
    <x v="0"/>
    <x v="45"/>
    <n v="600"/>
    <n v="0.59"/>
    <n v="4"/>
    <n v="1208"/>
  </r>
  <r>
    <x v="740"/>
    <x v="726"/>
    <x v="0"/>
    <x v="54"/>
    <n v="5734"/>
    <n v="0.22"/>
    <n v="4.4000000000000004"/>
    <n v="25006"/>
  </r>
  <r>
    <x v="741"/>
    <x v="727"/>
    <x v="0"/>
    <x v="81"/>
    <n v="550"/>
    <n v="0.46"/>
    <n v="4.5999999999999996"/>
    <n v="33434"/>
  </r>
  <r>
    <x v="742"/>
    <x v="728"/>
    <x v="0"/>
    <x v="44"/>
    <n v="1390"/>
    <n v="0.55000000000000004"/>
    <n v="4.4000000000000004"/>
    <n v="6301"/>
  </r>
  <r>
    <x v="743"/>
    <x v="729"/>
    <x v="0"/>
    <x v="48"/>
    <n v="3295"/>
    <n v="0.21"/>
    <n v="4.4000000000000004"/>
    <n v="22618"/>
  </r>
  <r>
    <x v="744"/>
    <x v="730"/>
    <x v="0"/>
    <x v="68"/>
    <n v="2911"/>
    <n v="0.38"/>
    <n v="4.3"/>
    <n v="20342"/>
  </r>
  <r>
    <x v="745"/>
    <x v="731"/>
    <x v="3"/>
    <x v="76"/>
    <n v="175"/>
    <n v="0.49"/>
    <n v="4.4000000000000004"/>
    <n v="7429"/>
  </r>
  <r>
    <x v="746"/>
    <x v="732"/>
    <x v="0"/>
    <x v="46"/>
    <n v="599"/>
    <n v="0"/>
    <n v="4"/>
    <n v="26423"/>
  </r>
  <r>
    <x v="747"/>
    <x v="733"/>
    <x v="1"/>
    <x v="19"/>
    <n v="7999"/>
    <n v="0.75"/>
    <n v="4.2"/>
    <n v="31305"/>
  </r>
  <r>
    <x v="748"/>
    <x v="734"/>
    <x v="0"/>
    <x v="104"/>
    <n v="3250"/>
    <n v="0.35"/>
    <n v="3.8"/>
    <n v="11213"/>
  </r>
  <r>
    <x v="749"/>
    <x v="735"/>
    <x v="0"/>
    <x v="105"/>
    <n v="499"/>
    <n v="0.64"/>
    <n v="4.0999999999999996"/>
    <n v="10174"/>
  </r>
  <r>
    <x v="750"/>
    <x v="736"/>
    <x v="0"/>
    <x v="53"/>
    <n v="2295"/>
    <n v="0.41"/>
    <n v="4.2"/>
    <n v="17413"/>
  </r>
  <r>
    <x v="751"/>
    <x v="737"/>
    <x v="1"/>
    <x v="59"/>
    <n v="995"/>
    <n v="0.65"/>
    <n v="4.2"/>
    <n v="6676"/>
  </r>
  <r>
    <x v="752"/>
    <x v="738"/>
    <x v="0"/>
    <x v="91"/>
    <n v="499"/>
    <n v="0.42"/>
    <n v="4.4000000000000004"/>
    <n v="8076"/>
  </r>
  <r>
    <x v="753"/>
    <x v="739"/>
    <x v="0"/>
    <x v="43"/>
    <n v="450"/>
    <n v="0.22"/>
    <n v="4.0999999999999996"/>
    <n v="18656"/>
  </r>
  <r>
    <x v="754"/>
    <x v="740"/>
    <x v="1"/>
    <x v="50"/>
    <n v="1109"/>
    <n v="0.21"/>
    <n v="4.4000000000000004"/>
    <n v="31599"/>
  </r>
  <r>
    <x v="755"/>
    <x v="741"/>
    <x v="1"/>
    <x v="72"/>
    <n v="250"/>
    <n v="0"/>
    <n v="3.9"/>
    <n v="13971"/>
  </r>
  <r>
    <x v="756"/>
    <x v="742"/>
    <x v="1"/>
    <x v="24"/>
    <n v="499"/>
    <n v="0.6"/>
    <n v="3.6"/>
    <n v="2492"/>
  </r>
  <r>
    <x v="757"/>
    <x v="743"/>
    <x v="0"/>
    <x v="105"/>
    <n v="999"/>
    <n v="0.85"/>
    <n v="3.5"/>
    <n v="2523"/>
  </r>
  <r>
    <x v="758"/>
    <x v="744"/>
    <x v="0"/>
    <x v="45"/>
    <n v="1499"/>
    <n v="0.69"/>
    <n v="4.0999999999999996"/>
    <n v="352"/>
  </r>
  <r>
    <x v="759"/>
    <x v="745"/>
    <x v="0"/>
    <x v="83"/>
    <n v="1929"/>
    <n v="0.38"/>
    <n v="4.0999999999999996"/>
    <n v="1662"/>
  </r>
  <r>
    <x v="760"/>
    <x v="746"/>
    <x v="0"/>
    <x v="106"/>
    <n v="1499"/>
    <n v="0.43"/>
    <n v="4"/>
    <n v="7352"/>
  </r>
  <r>
    <x v="761"/>
    <x v="747"/>
    <x v="0"/>
    <x v="44"/>
    <n v="399"/>
    <n v="0.18"/>
    <n v="4.0999999999999996"/>
    <n v="3441"/>
  </r>
  <r>
    <x v="762"/>
    <x v="748"/>
    <x v="0"/>
    <x v="46"/>
    <n v="699"/>
    <n v="0.62"/>
    <n v="4"/>
    <n v="93"/>
  </r>
  <r>
    <x v="763"/>
    <x v="749"/>
    <x v="1"/>
    <x v="107"/>
    <n v="400"/>
    <n v="0.25"/>
    <n v="3.8"/>
    <n v="40895"/>
  </r>
  <r>
    <x v="764"/>
    <x v="750"/>
    <x v="0"/>
    <x v="94"/>
    <n v="1499"/>
    <n v="0.63"/>
    <n v="4.3"/>
    <n v="11006"/>
  </r>
  <r>
    <x v="765"/>
    <x v="751"/>
    <x v="3"/>
    <x v="71"/>
    <n v="120"/>
    <n v="0.05"/>
    <n v="4.2"/>
    <n v="8938"/>
  </r>
  <r>
    <x v="766"/>
    <x v="752"/>
    <x v="3"/>
    <x v="108"/>
    <n v="120"/>
    <n v="0"/>
    <n v="4.0999999999999996"/>
    <n v="4308"/>
  </r>
  <r>
    <x v="767"/>
    <x v="753"/>
    <x v="0"/>
    <x v="44"/>
    <n v="2295"/>
    <n v="0.35"/>
    <n v="4.5999999999999996"/>
    <n v="10652"/>
  </r>
  <r>
    <x v="768"/>
    <x v="754"/>
    <x v="4"/>
    <x v="109"/>
    <n v="99"/>
    <n v="0"/>
    <n v="4.3"/>
    <n v="5036"/>
  </r>
  <r>
    <x v="769"/>
    <x v="755"/>
    <x v="0"/>
    <x v="44"/>
    <n v="249"/>
    <n v="0.4"/>
    <n v="4"/>
    <n v="5057"/>
  </r>
  <r>
    <x v="770"/>
    <x v="756"/>
    <x v="0"/>
    <x v="62"/>
    <n v="2799"/>
    <n v="0.79"/>
    <n v="4.2"/>
    <n v="8537"/>
  </r>
  <r>
    <x v="771"/>
    <x v="757"/>
    <x v="3"/>
    <x v="90"/>
    <n v="210"/>
    <n v="0.15"/>
    <n v="4.3"/>
    <n v="2450"/>
  </r>
  <r>
    <x v="772"/>
    <x v="758"/>
    <x v="1"/>
    <x v="24"/>
    <n v="3490"/>
    <n v="0.54"/>
    <n v="3.7"/>
    <n v="676"/>
  </r>
  <r>
    <x v="773"/>
    <x v="759"/>
    <x v="1"/>
    <x v="24"/>
    <n v="1299"/>
    <n v="0.62"/>
    <n v="3.9"/>
    <n v="1173"/>
  </r>
  <r>
    <x v="774"/>
    <x v="760"/>
    <x v="0"/>
    <x v="64"/>
    <n v="499"/>
    <n v="0.6"/>
    <n v="4.3"/>
    <n v="9998"/>
  </r>
  <r>
    <x v="775"/>
    <x v="761"/>
    <x v="1"/>
    <x v="19"/>
    <n v="5999"/>
    <n v="0.57999999999999996"/>
    <n v="4.0999999999999996"/>
    <n v="5852"/>
  </r>
  <r>
    <x v="776"/>
    <x v="762"/>
    <x v="0"/>
    <x v="110"/>
    <n v="999"/>
    <n v="0.8"/>
    <n v="4.2"/>
    <n v="362"/>
  </r>
  <r>
    <x v="777"/>
    <x v="763"/>
    <x v="1"/>
    <x v="22"/>
    <n v="1800"/>
    <n v="0.48"/>
    <n v="4.5"/>
    <n v="205052"/>
  </r>
  <r>
    <x v="778"/>
    <x v="764"/>
    <x v="1"/>
    <x v="19"/>
    <n v="9999"/>
    <n v="0.75"/>
    <n v="4"/>
    <n v="9090"/>
  </r>
  <r>
    <x v="779"/>
    <x v="765"/>
    <x v="0"/>
    <x v="44"/>
    <n v="2890"/>
    <n v="0.5"/>
    <n v="4.5"/>
    <n v="4099"/>
  </r>
  <r>
    <x v="780"/>
    <x v="766"/>
    <x v="1"/>
    <x v="24"/>
    <n v="5999"/>
    <n v="0.82"/>
    <n v="3.5"/>
    <n v="12966"/>
  </r>
  <r>
    <x v="781"/>
    <x v="767"/>
    <x v="3"/>
    <x v="71"/>
    <n v="160"/>
    <n v="0.02"/>
    <n v="4.5"/>
    <n v="4428"/>
  </r>
  <r>
    <x v="782"/>
    <x v="768"/>
    <x v="0"/>
    <x v="61"/>
    <n v="999"/>
    <n v="0.88"/>
    <n v="3.3"/>
    <n v="5692"/>
  </r>
  <r>
    <x v="783"/>
    <x v="769"/>
    <x v="0"/>
    <x v="45"/>
    <n v="499"/>
    <n v="0.65"/>
    <n v="4.0999999999999996"/>
    <n v="21"/>
  </r>
  <r>
    <x v="784"/>
    <x v="770"/>
    <x v="1"/>
    <x v="80"/>
    <n v="4700"/>
    <n v="0.56999999999999995"/>
    <n v="3.8"/>
    <n v="1880"/>
  </r>
  <r>
    <x v="785"/>
    <x v="771"/>
    <x v="0"/>
    <x v="111"/>
    <n v="4332.96"/>
    <n v="0.08"/>
    <n v="3.5"/>
    <n v="21762"/>
  </r>
  <r>
    <x v="786"/>
    <x v="772"/>
    <x v="0"/>
    <x v="68"/>
    <n v="1800"/>
    <n v="0.5"/>
    <n v="4.0999999999999996"/>
    <n v="22375"/>
  </r>
  <r>
    <x v="787"/>
    <x v="773"/>
    <x v="0"/>
    <x v="64"/>
    <n v="990"/>
    <n v="0.7"/>
    <n v="4.5"/>
    <n v="2453"/>
  </r>
  <r>
    <x v="788"/>
    <x v="774"/>
    <x v="0"/>
    <x v="45"/>
    <n v="4699"/>
    <n v="0.3"/>
    <n v="4.4000000000000004"/>
    <n v="13544"/>
  </r>
  <r>
    <x v="789"/>
    <x v="775"/>
    <x v="0"/>
    <x v="97"/>
    <n v="5490"/>
    <n v="0.66"/>
    <n v="4.0999999999999996"/>
    <n v="10976"/>
  </r>
  <r>
    <x v="790"/>
    <x v="776"/>
    <x v="3"/>
    <x v="88"/>
    <n v="100"/>
    <n v="0.1"/>
    <n v="4.3"/>
    <n v="3061"/>
  </r>
  <r>
    <x v="791"/>
    <x v="777"/>
    <x v="1"/>
    <x v="24"/>
    <n v="2790"/>
    <n v="0.43"/>
    <n v="3.6"/>
    <n v="2272"/>
  </r>
  <r>
    <x v="792"/>
    <x v="778"/>
    <x v="0"/>
    <x v="98"/>
    <n v="999"/>
    <n v="0.4"/>
    <n v="4"/>
    <n v="7601"/>
  </r>
  <r>
    <x v="793"/>
    <x v="779"/>
    <x v="0"/>
    <x v="64"/>
    <n v="899"/>
    <n v="0.53"/>
    <n v="4.5"/>
    <n v="4219"/>
  </r>
  <r>
    <x v="794"/>
    <x v="780"/>
    <x v="1"/>
    <x v="39"/>
    <n v="3999"/>
    <n v="0.63"/>
    <n v="4.2"/>
    <n v="42775"/>
  </r>
  <r>
    <x v="795"/>
    <x v="781"/>
    <x v="0"/>
    <x v="94"/>
    <n v="2499"/>
    <n v="0.78"/>
    <n v="4.3"/>
    <n v="5556"/>
  </r>
  <r>
    <x v="796"/>
    <x v="782"/>
    <x v="0"/>
    <x v="44"/>
    <n v="1645"/>
    <n v="0.21"/>
    <n v="4.5999999999999996"/>
    <n v="12375"/>
  </r>
  <r>
    <x v="797"/>
    <x v="783"/>
    <x v="4"/>
    <x v="63"/>
    <n v="310"/>
    <n v="0"/>
    <n v="4.5"/>
    <n v="5882"/>
  </r>
  <r>
    <x v="798"/>
    <x v="784"/>
    <x v="0"/>
    <x v="53"/>
    <n v="1499"/>
    <n v="0.23"/>
    <n v="4.0999999999999996"/>
    <n v="10443"/>
  </r>
  <r>
    <x v="799"/>
    <x v="785"/>
    <x v="0"/>
    <x v="46"/>
    <n v="1299"/>
    <n v="0.62"/>
    <n v="4.5"/>
    <n v="434"/>
  </r>
  <r>
    <x v="800"/>
    <x v="786"/>
    <x v="1"/>
    <x v="24"/>
    <n v="4199"/>
    <n v="0.76"/>
    <n v="3.5"/>
    <n v="1913"/>
  </r>
  <r>
    <x v="801"/>
    <x v="787"/>
    <x v="0"/>
    <x v="102"/>
    <n v="4000"/>
    <n v="0.56999999999999995"/>
    <n v="4.4000000000000004"/>
    <n v="3029"/>
  </r>
  <r>
    <x v="802"/>
    <x v="788"/>
    <x v="3"/>
    <x v="51"/>
    <n v="250"/>
    <n v="0"/>
    <n v="4.2"/>
    <n v="2628"/>
  </r>
  <r>
    <x v="803"/>
    <x v="789"/>
    <x v="4"/>
    <x v="112"/>
    <n v="100"/>
    <n v="0.1"/>
    <n v="4.4000000000000004"/>
    <n v="10718"/>
  </r>
  <r>
    <x v="804"/>
    <x v="790"/>
    <x v="1"/>
    <x v="35"/>
    <n v="5999"/>
    <n v="0.66"/>
    <n v="4.2"/>
    <n v="6233"/>
  </r>
  <r>
    <x v="805"/>
    <x v="791"/>
    <x v="0"/>
    <x v="62"/>
    <n v="1995"/>
    <n v="0.25"/>
    <n v="4.5"/>
    <n v="10541"/>
  </r>
  <r>
    <x v="806"/>
    <x v="792"/>
    <x v="1"/>
    <x v="70"/>
    <n v="1199"/>
    <n v="0.25"/>
    <n v="3.8"/>
    <n v="10751"/>
  </r>
  <r>
    <x v="807"/>
    <x v="793"/>
    <x v="0"/>
    <x v="113"/>
    <n v="999"/>
    <n v="0.65"/>
    <n v="3.9"/>
    <n v="817"/>
  </r>
  <r>
    <x v="808"/>
    <x v="794"/>
    <x v="1"/>
    <x v="20"/>
    <n v="2499"/>
    <n v="0.64"/>
    <n v="4"/>
    <n v="36384"/>
  </r>
  <r>
    <x v="809"/>
    <x v="795"/>
    <x v="1"/>
    <x v="80"/>
    <n v="3990"/>
    <n v="0.38"/>
    <n v="4.0999999999999996"/>
    <n v="3606"/>
  </r>
  <r>
    <x v="810"/>
    <x v="796"/>
    <x v="1"/>
    <x v="67"/>
    <n v="200"/>
    <n v="0.42"/>
    <n v="4.4000000000000004"/>
    <n v="357"/>
  </r>
  <r>
    <x v="811"/>
    <x v="797"/>
    <x v="4"/>
    <x v="63"/>
    <n v="230"/>
    <n v="0.13"/>
    <n v="4.4000000000000004"/>
    <n v="10170"/>
  </r>
  <r>
    <x v="812"/>
    <x v="798"/>
    <x v="0"/>
    <x v="105"/>
    <n v="2796"/>
    <n v="0.55000000000000004"/>
    <n v="4.4000000000000004"/>
    <n v="4598"/>
  </r>
  <r>
    <x v="813"/>
    <x v="799"/>
    <x v="0"/>
    <x v="114"/>
    <n v="999"/>
    <n v="0.35"/>
    <n v="3.5"/>
    <n v="7222"/>
  </r>
  <r>
    <x v="814"/>
    <x v="800"/>
    <x v="0"/>
    <x v="115"/>
    <n v="3499"/>
    <n v="0.24"/>
    <n v="4.5"/>
    <n v="1271"/>
  </r>
  <r>
    <x v="815"/>
    <x v="801"/>
    <x v="0"/>
    <x v="60"/>
    <n v="723"/>
    <n v="0.18"/>
    <n v="4.4000000000000004"/>
    <n v="3219"/>
  </r>
  <r>
    <x v="816"/>
    <x v="802"/>
    <x v="1"/>
    <x v="19"/>
    <n v="5999"/>
    <n v="0.57999999999999996"/>
    <n v="4.0999999999999996"/>
    <n v="38879"/>
  </r>
  <r>
    <x v="817"/>
    <x v="803"/>
    <x v="1"/>
    <x v="116"/>
    <n v="12499"/>
    <n v="0.6"/>
    <n v="4.2"/>
    <n v="4541"/>
  </r>
  <r>
    <x v="818"/>
    <x v="804"/>
    <x v="1"/>
    <x v="24"/>
    <n v="1290"/>
    <n v="0.69"/>
    <n v="4.2"/>
    <n v="76042"/>
  </r>
  <r>
    <x v="819"/>
    <x v="805"/>
    <x v="1"/>
    <x v="67"/>
    <n v="200"/>
    <n v="0.42"/>
    <n v="4.3"/>
    <n v="485"/>
  </r>
  <r>
    <x v="820"/>
    <x v="806"/>
    <x v="1"/>
    <x v="80"/>
    <n v="5999"/>
    <n v="0.25"/>
    <n v="4.3"/>
    <n v="44696"/>
  </r>
  <r>
    <x v="821"/>
    <x v="807"/>
    <x v="0"/>
    <x v="83"/>
    <n v="499"/>
    <n v="0.34"/>
    <n v="3.7"/>
    <n v="8566"/>
  </r>
  <r>
    <x v="822"/>
    <x v="808"/>
    <x v="1"/>
    <x v="69"/>
    <n v="2499"/>
    <n v="0.74"/>
    <n v="3.9"/>
    <n v="13049"/>
  </r>
  <r>
    <x v="823"/>
    <x v="809"/>
    <x v="0"/>
    <x v="34"/>
    <n v="1599"/>
    <n v="0.23"/>
    <n v="4.5"/>
    <n v="16680"/>
  </r>
  <r>
    <x v="824"/>
    <x v="810"/>
    <x v="3"/>
    <x v="108"/>
    <n v="320"/>
    <n v="0.15"/>
    <n v="4"/>
    <n v="3686"/>
  </r>
  <r>
    <x v="825"/>
    <x v="811"/>
    <x v="1"/>
    <x v="117"/>
    <n v="999"/>
    <n v="0.9"/>
    <n v="3.8"/>
    <n v="594"/>
  </r>
  <r>
    <x v="826"/>
    <x v="812"/>
    <x v="0"/>
    <x v="118"/>
    <n v="3875"/>
    <n v="0.1"/>
    <n v="3.4"/>
    <n v="12185"/>
  </r>
  <r>
    <x v="827"/>
    <x v="813"/>
    <x v="0"/>
    <x v="67"/>
    <n v="19110"/>
    <n v="0.47"/>
    <n v="4.3"/>
    <n v="2623"/>
  </r>
  <r>
    <x v="828"/>
    <x v="814"/>
    <x v="0"/>
    <x v="86"/>
    <n v="999"/>
    <n v="0.55000000000000004"/>
    <n v="4.3"/>
    <n v="9701"/>
  </r>
  <r>
    <x v="829"/>
    <x v="815"/>
    <x v="6"/>
    <x v="119"/>
    <n v="150"/>
    <n v="0"/>
    <n v="4.3"/>
    <n v="15867"/>
  </r>
  <r>
    <x v="830"/>
    <x v="816"/>
    <x v="0"/>
    <x v="68"/>
    <n v="2999"/>
    <n v="0.6"/>
    <n v="4.0999999999999996"/>
    <n v="10725"/>
  </r>
  <r>
    <x v="831"/>
    <x v="817"/>
    <x v="0"/>
    <x v="65"/>
    <n v="899"/>
    <n v="0.56000000000000005"/>
    <n v="4"/>
    <n v="3025"/>
  </r>
  <r>
    <x v="832"/>
    <x v="818"/>
    <x v="0"/>
    <x v="81"/>
    <n v="1490"/>
    <n v="0.53"/>
    <n v="4"/>
    <n v="5736"/>
  </r>
  <r>
    <x v="833"/>
    <x v="819"/>
    <x v="1"/>
    <x v="24"/>
    <n v="1999"/>
    <n v="0.16"/>
    <n v="4.0999999999999996"/>
    <n v="72563"/>
  </r>
  <r>
    <x v="834"/>
    <x v="820"/>
    <x v="0"/>
    <x v="45"/>
    <n v="1500"/>
    <n v="0.76"/>
    <n v="4"/>
    <n v="1026"/>
  </r>
  <r>
    <x v="835"/>
    <x v="821"/>
    <x v="0"/>
    <x v="120"/>
    <n v="5499"/>
    <n v="0.78"/>
    <n v="3.8"/>
    <n v="2043"/>
  </r>
  <r>
    <x v="836"/>
    <x v="822"/>
    <x v="0"/>
    <x v="34"/>
    <n v="1499"/>
    <n v="0.75"/>
    <n v="4.2"/>
    <n v="4149"/>
  </r>
  <r>
    <x v="837"/>
    <x v="823"/>
    <x v="0"/>
    <x v="54"/>
    <n v="775"/>
    <n v="0.36"/>
    <n v="4.3"/>
    <n v="74"/>
  </r>
  <r>
    <x v="838"/>
    <x v="824"/>
    <x v="0"/>
    <x v="121"/>
    <n v="32000"/>
    <n v="0.68"/>
    <n v="4.4000000000000004"/>
    <n v="41398"/>
  </r>
  <r>
    <x v="839"/>
    <x v="825"/>
    <x v="0"/>
    <x v="106"/>
    <n v="1300"/>
    <n v="0.5"/>
    <n v="4.0999999999999996"/>
    <n v="5195"/>
  </r>
  <r>
    <x v="840"/>
    <x v="826"/>
    <x v="0"/>
    <x v="122"/>
    <n v="1999"/>
    <n v="0.4"/>
    <n v="4.5"/>
    <n v="22420"/>
  </r>
  <r>
    <x v="841"/>
    <x v="827"/>
    <x v="1"/>
    <x v="24"/>
    <n v="1999"/>
    <n v="0.56000000000000005"/>
    <n v="4.2"/>
    <n v="2284"/>
  </r>
  <r>
    <x v="842"/>
    <x v="828"/>
    <x v="0"/>
    <x v="53"/>
    <n v="2199"/>
    <n v="0.36"/>
    <n v="3.9"/>
    <n v="427"/>
  </r>
  <r>
    <x v="843"/>
    <x v="829"/>
    <x v="0"/>
    <x v="123"/>
    <n v="1999"/>
    <n v="0.73"/>
    <n v="4.3"/>
    <n v="1367"/>
  </r>
  <r>
    <x v="844"/>
    <x v="830"/>
    <x v="0"/>
    <x v="120"/>
    <n v="1799"/>
    <n v="0.57999999999999996"/>
    <n v="4"/>
    <n v="13199"/>
  </r>
  <r>
    <x v="845"/>
    <x v="831"/>
    <x v="0"/>
    <x v="0"/>
    <n v="1099"/>
    <n v="0.66"/>
    <n v="4.3"/>
    <n v="2806"/>
  </r>
  <r>
    <x v="846"/>
    <x v="832"/>
    <x v="1"/>
    <x v="19"/>
    <n v="7999"/>
    <n v="0.25"/>
    <n v="4.2"/>
    <n v="30355"/>
  </r>
  <r>
    <x v="847"/>
    <x v="833"/>
    <x v="0"/>
    <x v="86"/>
    <n v="1499"/>
    <n v="0.8"/>
    <n v="4.2"/>
    <n v="2868"/>
  </r>
  <r>
    <x v="848"/>
    <x v="834"/>
    <x v="0"/>
    <x v="34"/>
    <n v="1499"/>
    <n v="0.75"/>
    <n v="4.0999999999999996"/>
    <n v="670"/>
  </r>
  <r>
    <x v="849"/>
    <x v="835"/>
    <x v="3"/>
    <x v="124"/>
    <n v="2999"/>
    <n v="0.53"/>
    <n v="4.3"/>
    <n v="3530"/>
  </r>
  <r>
    <x v="850"/>
    <x v="836"/>
    <x v="1"/>
    <x v="125"/>
    <n v="1299"/>
    <n v="0.46"/>
    <n v="4.3"/>
    <n v="6183"/>
  </r>
  <r>
    <x v="851"/>
    <x v="837"/>
    <x v="3"/>
    <x v="89"/>
    <n v="300"/>
    <n v="0"/>
    <n v="4.2"/>
    <n v="419"/>
  </r>
  <r>
    <x v="852"/>
    <x v="838"/>
    <x v="0"/>
    <x v="64"/>
    <n v="1995"/>
    <n v="0.5"/>
    <n v="4.5"/>
    <n v="7317"/>
  </r>
  <r>
    <x v="853"/>
    <x v="839"/>
    <x v="3"/>
    <x v="126"/>
    <n v="535"/>
    <n v="0"/>
    <n v="4.4000000000000004"/>
    <n v="4426"/>
  </r>
  <r>
    <x v="854"/>
    <x v="840"/>
    <x v="0"/>
    <x v="86"/>
    <n v="1099"/>
    <n v="0.76"/>
    <n v="4.0999999999999996"/>
    <n v="1092"/>
  </r>
  <r>
    <x v="855"/>
    <x v="841"/>
    <x v="3"/>
    <x v="108"/>
    <n v="450"/>
    <n v="0.24"/>
    <n v="4.3"/>
    <n v="2493"/>
  </r>
  <r>
    <x v="856"/>
    <x v="842"/>
    <x v="0"/>
    <x v="68"/>
    <n v="3999"/>
    <n v="0.38"/>
    <n v="4.4000000000000004"/>
    <n v="12679"/>
  </r>
  <r>
    <x v="857"/>
    <x v="843"/>
    <x v="0"/>
    <x v="111"/>
    <n v="7005"/>
    <n v="0.16"/>
    <n v="3.6"/>
    <n v="4199"/>
  </r>
  <r>
    <x v="858"/>
    <x v="844"/>
    <x v="0"/>
    <x v="68"/>
    <n v="2999"/>
    <n v="0.48"/>
    <n v="4"/>
    <n v="11113"/>
  </r>
  <r>
    <x v="859"/>
    <x v="845"/>
    <x v="1"/>
    <x v="56"/>
    <n v="799"/>
    <n v="0.59"/>
    <n v="4.4000000000000004"/>
    <n v="10773"/>
  </r>
  <r>
    <x v="860"/>
    <x v="846"/>
    <x v="0"/>
    <x v="54"/>
    <n v="999"/>
    <n v="0.34"/>
    <n v="4.3"/>
    <n v="13944"/>
  </r>
  <r>
    <x v="861"/>
    <x v="847"/>
    <x v="0"/>
    <x v="62"/>
    <n v="2895"/>
    <n v="0.31"/>
    <n v="4.5999999999999996"/>
    <n v="10760"/>
  </r>
  <r>
    <x v="862"/>
    <x v="848"/>
    <x v="1"/>
    <x v="67"/>
    <n v="1500"/>
    <n v="0"/>
    <n v="4.4000000000000004"/>
    <n v="25996"/>
  </r>
  <r>
    <x v="863"/>
    <x v="849"/>
    <x v="0"/>
    <x v="48"/>
    <n v="3195"/>
    <n v="0.17"/>
    <n v="4.5"/>
    <n v="16146"/>
  </r>
  <r>
    <x v="864"/>
    <x v="850"/>
    <x v="0"/>
    <x v="111"/>
    <n v="6355"/>
    <n v="0.17"/>
    <n v="3.9"/>
    <n v="8280"/>
  </r>
  <r>
    <x v="865"/>
    <x v="851"/>
    <x v="0"/>
    <x v="120"/>
    <n v="2999"/>
    <n v="0.34"/>
    <n v="4.3"/>
    <n v="14237"/>
  </r>
  <r>
    <x v="866"/>
    <x v="852"/>
    <x v="1"/>
    <x v="127"/>
    <n v="1499"/>
    <n v="0.14000000000000001"/>
    <n v="4.5"/>
    <n v="20668"/>
  </r>
  <r>
    <x v="867"/>
    <x v="853"/>
    <x v="3"/>
    <x v="89"/>
    <n v="165"/>
    <n v="0"/>
    <n v="4.5"/>
    <n v="1674"/>
  </r>
  <r>
    <x v="868"/>
    <x v="854"/>
    <x v="0"/>
    <x v="105"/>
    <n v="3499"/>
    <n v="0.51"/>
    <n v="3.6"/>
    <n v="7689"/>
  </r>
  <r>
    <x v="869"/>
    <x v="855"/>
    <x v="1"/>
    <x v="80"/>
    <n v="7500"/>
    <n v="0.69"/>
    <n v="4.0999999999999996"/>
    <n v="5554"/>
  </r>
  <r>
    <x v="870"/>
    <x v="856"/>
    <x v="0"/>
    <x v="78"/>
    <n v="39"/>
    <n v="0"/>
    <n v="3.8"/>
    <n v="3344"/>
  </r>
  <r>
    <x v="871"/>
    <x v="857"/>
    <x v="0"/>
    <x v="67"/>
    <n v="37999"/>
    <n v="0.28999999999999998"/>
    <n v="4.5999999999999996"/>
    <n v="2886"/>
  </r>
  <r>
    <x v="872"/>
    <x v="858"/>
    <x v="1"/>
    <x v="24"/>
    <n v="1990"/>
    <n v="0.25"/>
    <n v="4.0999999999999996"/>
    <n v="98250"/>
  </r>
  <r>
    <x v="873"/>
    <x v="859"/>
    <x v="0"/>
    <x v="46"/>
    <n v="1949"/>
    <n v="0.8"/>
    <n v="4"/>
    <n v="75"/>
  </r>
  <r>
    <x v="874"/>
    <x v="860"/>
    <x v="0"/>
    <x v="105"/>
    <n v="1547"/>
    <n v="0.5"/>
    <n v="4.3"/>
    <n v="2585"/>
  </r>
  <r>
    <x v="875"/>
    <x v="861"/>
    <x v="1"/>
    <x v="31"/>
    <n v="1299"/>
    <n v="0.79"/>
    <n v="4"/>
    <n v="5072"/>
  </r>
  <r>
    <x v="876"/>
    <x v="862"/>
    <x v="5"/>
    <x v="128"/>
    <n v="599"/>
    <n v="0.57999999999999996"/>
    <n v="4.5"/>
    <n v="5985"/>
  </r>
  <r>
    <x v="877"/>
    <x v="863"/>
    <x v="4"/>
    <x v="129"/>
    <n v="230"/>
    <n v="0"/>
    <n v="4.5"/>
    <n v="9427"/>
  </r>
  <r>
    <x v="878"/>
    <x v="864"/>
    <x v="0"/>
    <x v="62"/>
    <n v="700"/>
    <n v="0.14000000000000001"/>
    <n v="4.3"/>
    <n v="2301"/>
  </r>
  <r>
    <x v="879"/>
    <x v="865"/>
    <x v="0"/>
    <x v="130"/>
    <n v="1150"/>
    <n v="0.48"/>
    <n v="4.0999999999999996"/>
    <n v="2535"/>
  </r>
  <r>
    <x v="880"/>
    <x v="866"/>
    <x v="0"/>
    <x v="34"/>
    <n v="1499"/>
    <n v="0.73"/>
    <n v="4"/>
    <n v="691"/>
  </r>
  <r>
    <x v="881"/>
    <x v="867"/>
    <x v="0"/>
    <x v="46"/>
    <n v="1299"/>
    <n v="0.62"/>
    <n v="4.0999999999999996"/>
    <n v="2740"/>
  </r>
  <r>
    <x v="882"/>
    <x v="868"/>
    <x v="0"/>
    <x v="44"/>
    <n v="1090"/>
    <n v="0.47"/>
    <n v="4.4000000000000004"/>
    <n v="3482"/>
  </r>
  <r>
    <x v="883"/>
    <x v="869"/>
    <x v="3"/>
    <x v="131"/>
    <n v="100"/>
    <n v="0.1"/>
    <n v="4.0999999999999996"/>
    <n v="6199"/>
  </r>
  <r>
    <x v="884"/>
    <x v="870"/>
    <x v="0"/>
    <x v="46"/>
    <n v="1999"/>
    <n v="0.55000000000000004"/>
    <n v="4.4000000000000004"/>
    <n v="1667"/>
  </r>
  <r>
    <x v="885"/>
    <x v="871"/>
    <x v="0"/>
    <x v="115"/>
    <n v="1800"/>
    <n v="0.36"/>
    <n v="4.3"/>
    <n v="4723"/>
  </r>
  <r>
    <x v="886"/>
    <x v="872"/>
    <x v="0"/>
    <x v="86"/>
    <n v="499"/>
    <n v="0.5"/>
    <n v="4.2"/>
    <n v="22860"/>
  </r>
  <r>
    <x v="887"/>
    <x v="873"/>
    <x v="0"/>
    <x v="78"/>
    <n v="39"/>
    <n v="0"/>
    <n v="3.6"/>
    <n v="13572"/>
  </r>
  <r>
    <x v="888"/>
    <x v="874"/>
    <x v="0"/>
    <x v="58"/>
    <n v="3599"/>
    <n v="0.56000000000000005"/>
    <n v="4.2"/>
    <n v="16182"/>
  </r>
  <r>
    <x v="889"/>
    <x v="875"/>
    <x v="1"/>
    <x v="70"/>
    <n v="3990"/>
    <n v="0.7"/>
    <n v="4.2"/>
    <n v="2908"/>
  </r>
  <r>
    <x v="890"/>
    <x v="876"/>
    <x v="0"/>
    <x v="44"/>
    <n v="1499"/>
    <n v="0.27"/>
    <n v="4.2"/>
    <n v="2375"/>
  </r>
  <r>
    <x v="891"/>
    <x v="877"/>
    <x v="3"/>
    <x v="89"/>
    <n v="120"/>
    <n v="0"/>
    <n v="4.5"/>
    <n v="4951"/>
  </r>
  <r>
    <x v="892"/>
    <x v="878"/>
    <x v="0"/>
    <x v="115"/>
    <n v="3499"/>
    <n v="0.56999999999999995"/>
    <n v="4.3"/>
    <n v="408"/>
  </r>
  <r>
    <x v="893"/>
    <x v="879"/>
    <x v="3"/>
    <x v="131"/>
    <n v="420"/>
    <n v="0"/>
    <n v="4.2"/>
    <n v="1926"/>
  </r>
  <r>
    <x v="894"/>
    <x v="880"/>
    <x v="3"/>
    <x v="132"/>
    <n v="225"/>
    <n v="0"/>
    <n v="4.0999999999999996"/>
    <n v="4798"/>
  </r>
  <r>
    <x v="895"/>
    <x v="881"/>
    <x v="0"/>
    <x v="133"/>
    <n v="799"/>
    <n v="0.75"/>
    <n v="4.0999999999999996"/>
    <n v="7333"/>
  </r>
  <r>
    <x v="896"/>
    <x v="882"/>
    <x v="0"/>
    <x v="118"/>
    <n v="9625"/>
    <n v="0.13"/>
    <n v="3.8"/>
    <n v="3652"/>
  </r>
  <r>
    <x v="897"/>
    <x v="883"/>
    <x v="0"/>
    <x v="102"/>
    <n v="6100"/>
    <n v="0.46"/>
    <n v="4.3"/>
    <n v="2515"/>
  </r>
  <r>
    <x v="898"/>
    <x v="884"/>
    <x v="0"/>
    <x v="43"/>
    <n v="1300"/>
    <n v="0.65"/>
    <n v="4.2"/>
    <n v="4959"/>
  </r>
  <r>
    <x v="899"/>
    <x v="885"/>
    <x v="1"/>
    <x v="50"/>
    <n v="400"/>
    <n v="0.05"/>
    <n v="4.4000000000000004"/>
    <n v="2111"/>
  </r>
  <r>
    <x v="900"/>
    <x v="886"/>
    <x v="0"/>
    <x v="45"/>
    <n v="1399"/>
    <n v="0.64"/>
    <n v="3.9"/>
    <n v="1462"/>
  </r>
  <r>
    <x v="901"/>
    <x v="887"/>
    <x v="0"/>
    <x v="134"/>
    <n v="59890"/>
    <n v="0.38"/>
    <n v="4"/>
    <n v="323"/>
  </r>
  <r>
    <x v="902"/>
    <x v="888"/>
    <x v="1"/>
    <x v="39"/>
    <n v="2490"/>
    <n v="0.66"/>
    <n v="4.2"/>
    <n v="91188"/>
  </r>
  <r>
    <x v="903"/>
    <x v="889"/>
    <x v="1"/>
    <x v="85"/>
    <n v="1999"/>
    <n v="0.6"/>
    <n v="3.7"/>
    <n v="418"/>
  </r>
  <r>
    <x v="904"/>
    <x v="890"/>
    <x v="0"/>
    <x v="78"/>
    <n v="999"/>
    <n v="0.7"/>
    <n v="4.3"/>
    <n v="1552"/>
  </r>
  <r>
    <x v="905"/>
    <x v="891"/>
    <x v="1"/>
    <x v="85"/>
    <n v="2999"/>
    <n v="0.5"/>
    <n v="4.0999999999999996"/>
    <n v="25262"/>
  </r>
  <r>
    <x v="906"/>
    <x v="892"/>
    <x v="4"/>
    <x v="135"/>
    <n v="1245"/>
    <n v="0.48"/>
    <n v="3.9"/>
    <n v="123365"/>
  </r>
  <r>
    <x v="907"/>
    <x v="893"/>
    <x v="4"/>
    <x v="136"/>
    <n v="1695"/>
    <n v="0.28999999999999998"/>
    <n v="3.6"/>
    <n v="13300"/>
  </r>
  <r>
    <x v="908"/>
    <x v="894"/>
    <x v="4"/>
    <x v="137"/>
    <n v="2000"/>
    <n v="0.4"/>
    <n v="4"/>
    <n v="18543"/>
  </r>
  <r>
    <x v="909"/>
    <x v="895"/>
    <x v="4"/>
    <x v="138"/>
    <n v="999"/>
    <n v="0.54"/>
    <n v="4.0999999999999996"/>
    <n v="3578"/>
  </r>
  <r>
    <x v="910"/>
    <x v="896"/>
    <x v="4"/>
    <x v="139"/>
    <n v="1999"/>
    <n v="0.9"/>
    <n v="3.7"/>
    <n v="2031"/>
  </r>
  <r>
    <x v="911"/>
    <x v="897"/>
    <x v="4"/>
    <x v="139"/>
    <n v="499"/>
    <n v="0.41"/>
    <n v="3.9"/>
    <n v="44994"/>
  </r>
  <r>
    <x v="912"/>
    <x v="898"/>
    <x v="4"/>
    <x v="140"/>
    <n v="495"/>
    <n v="0.6"/>
    <n v="4.0999999999999996"/>
    <n v="270563"/>
  </r>
  <r>
    <x v="913"/>
    <x v="899"/>
    <x v="4"/>
    <x v="135"/>
    <n v="1245"/>
    <n v="0.4"/>
    <n v="3.9"/>
    <n v="31783"/>
  </r>
  <r>
    <x v="914"/>
    <x v="900"/>
    <x v="4"/>
    <x v="136"/>
    <n v="1549"/>
    <n v="0.1"/>
    <n v="3.9"/>
    <n v="2602"/>
  </r>
  <r>
    <x v="915"/>
    <x v="901"/>
    <x v="4"/>
    <x v="135"/>
    <n v="1445"/>
    <n v="0.48"/>
    <n v="3.9"/>
    <n v="63350"/>
  </r>
  <r>
    <x v="916"/>
    <x v="902"/>
    <x v="4"/>
    <x v="141"/>
    <n v="3193"/>
    <n v="0.47"/>
    <n v="3.8"/>
    <n v="54032"/>
  </r>
  <r>
    <x v="917"/>
    <x v="903"/>
    <x v="4"/>
    <x v="135"/>
    <n v="1345"/>
    <n v="0.22"/>
    <n v="3.8"/>
    <n v="15592"/>
  </r>
  <r>
    <x v="918"/>
    <x v="904"/>
    <x v="4"/>
    <x v="138"/>
    <n v="999"/>
    <n v="0.5"/>
    <n v="4.0999999999999996"/>
    <n v="4859"/>
  </r>
  <r>
    <x v="919"/>
    <x v="905"/>
    <x v="4"/>
    <x v="137"/>
    <n v="1650"/>
    <n v="0.11"/>
    <n v="4.0999999999999996"/>
    <n v="14120"/>
  </r>
  <r>
    <x v="920"/>
    <x v="906"/>
    <x v="4"/>
    <x v="142"/>
    <n v="499"/>
    <n v="0.5"/>
    <n v="3.3"/>
    <n v="8427"/>
  </r>
  <r>
    <x v="921"/>
    <x v="907"/>
    <x v="4"/>
    <x v="143"/>
    <n v="1400"/>
    <n v="0.55000000000000004"/>
    <n v="4.2"/>
    <n v="23316"/>
  </r>
  <r>
    <x v="922"/>
    <x v="908"/>
    <x v="4"/>
    <x v="144"/>
    <n v="2500"/>
    <n v="0.48"/>
    <n v="4"/>
    <n v="6530"/>
  </r>
  <r>
    <x v="923"/>
    <x v="909"/>
    <x v="4"/>
    <x v="145"/>
    <n v="6190"/>
    <n v="0.42"/>
    <n v="4.3"/>
    <n v="11924"/>
  </r>
  <r>
    <x v="924"/>
    <x v="910"/>
    <x v="4"/>
    <x v="146"/>
    <n v="13999"/>
    <n v="0.53"/>
    <n v="4"/>
    <n v="2961"/>
  </r>
  <r>
    <x v="925"/>
    <x v="911"/>
    <x v="4"/>
    <x v="135"/>
    <n v="2995"/>
    <n v="0.46"/>
    <n v="4.5"/>
    <n v="23484"/>
  </r>
  <r>
    <x v="926"/>
    <x v="912"/>
    <x v="4"/>
    <x v="145"/>
    <n v="5890"/>
    <n v="0.56000000000000005"/>
    <n v="4.0999999999999996"/>
    <n v="21783"/>
  </r>
  <r>
    <x v="927"/>
    <x v="913"/>
    <x v="4"/>
    <x v="147"/>
    <n v="2000"/>
    <n v="0.4"/>
    <n v="4"/>
    <n v="14030"/>
  </r>
  <r>
    <x v="928"/>
    <x v="914"/>
    <x v="4"/>
    <x v="148"/>
    <n v="13150"/>
    <n v="0.57999999999999996"/>
    <n v="4.2"/>
    <n v="6398"/>
  </r>
  <r>
    <x v="929"/>
    <x v="915"/>
    <x v="4"/>
    <x v="144"/>
    <n v="3500"/>
    <n v="0.63"/>
    <n v="3.8"/>
    <n v="44050"/>
  </r>
  <r>
    <x v="930"/>
    <x v="916"/>
    <x v="4"/>
    <x v="143"/>
    <n v="785"/>
    <n v="0.24"/>
    <n v="4.2"/>
    <n v="24247"/>
  </r>
  <r>
    <x v="931"/>
    <x v="917"/>
    <x v="4"/>
    <x v="144"/>
    <n v="3210"/>
    <n v="0.38"/>
    <n v="4.2"/>
    <n v="41349"/>
  </r>
  <r>
    <x v="932"/>
    <x v="918"/>
    <x v="4"/>
    <x v="147"/>
    <n v="1000"/>
    <n v="0.45"/>
    <n v="3.6"/>
    <n v="1074"/>
  </r>
  <r>
    <x v="933"/>
    <x v="919"/>
    <x v="4"/>
    <x v="136"/>
    <n v="2000"/>
    <n v="0.5"/>
    <n v="3.8"/>
    <n v="1163"/>
  </r>
  <r>
    <x v="934"/>
    <x v="920"/>
    <x v="4"/>
    <x v="138"/>
    <n v="1999"/>
    <n v="0.8"/>
    <n v="4.0999999999999996"/>
    <n v="257"/>
  </r>
  <r>
    <x v="935"/>
    <x v="921"/>
    <x v="4"/>
    <x v="149"/>
    <n v="720"/>
    <n v="0.25"/>
    <n v="4.0999999999999996"/>
    <n v="36017"/>
  </r>
  <r>
    <x v="936"/>
    <x v="922"/>
    <x v="4"/>
    <x v="135"/>
    <n v="1595"/>
    <n v="0.56000000000000005"/>
    <n v="4.0999999999999996"/>
    <n v="8090"/>
  </r>
  <r>
    <x v="937"/>
    <x v="923"/>
    <x v="4"/>
    <x v="141"/>
    <n v="3645"/>
    <n v="0.41"/>
    <n v="4.0999999999999996"/>
    <n v="31388"/>
  </r>
  <r>
    <x v="938"/>
    <x v="924"/>
    <x v="4"/>
    <x v="150"/>
    <n v="7950"/>
    <n v="0.55000000000000004"/>
    <n v="4.2"/>
    <n v="136"/>
  </r>
  <r>
    <x v="939"/>
    <x v="925"/>
    <x v="4"/>
    <x v="151"/>
    <n v="999"/>
    <n v="0.65"/>
    <n v="4"/>
    <n v="5380"/>
  </r>
  <r>
    <x v="940"/>
    <x v="926"/>
    <x v="4"/>
    <x v="152"/>
    <n v="1745"/>
    <n v="0.08"/>
    <n v="4.3"/>
    <n v="37974"/>
  </r>
  <r>
    <x v="941"/>
    <x v="927"/>
    <x v="4"/>
    <x v="149"/>
    <n v="1295"/>
    <n v="0.44"/>
    <n v="4.2"/>
    <n v="17218"/>
  </r>
  <r>
    <x v="942"/>
    <x v="928"/>
    <x v="4"/>
    <x v="138"/>
    <n v="1499"/>
    <n v="0.55000000000000004"/>
    <n v="4.2"/>
    <n v="900"/>
  </r>
  <r>
    <x v="943"/>
    <x v="929"/>
    <x v="4"/>
    <x v="147"/>
    <n v="1545"/>
    <n v="0.48"/>
    <n v="3.7"/>
    <n v="976"/>
  </r>
  <r>
    <x v="944"/>
    <x v="930"/>
    <x v="4"/>
    <x v="153"/>
    <n v="5000"/>
    <n v="0.61"/>
    <n v="4.0999999999999996"/>
    <n v="4927"/>
  </r>
  <r>
    <x v="945"/>
    <x v="931"/>
    <x v="4"/>
    <x v="138"/>
    <n v="1695"/>
    <n v="0.12"/>
    <n v="4.4000000000000004"/>
    <n v="3543"/>
  </r>
  <r>
    <x v="946"/>
    <x v="932"/>
    <x v="4"/>
    <x v="136"/>
    <n v="3945"/>
    <n v="0.37"/>
    <n v="3.8"/>
    <n v="2732"/>
  </r>
  <r>
    <x v="947"/>
    <x v="933"/>
    <x v="4"/>
    <x v="154"/>
    <n v="2099"/>
    <n v="0.21"/>
    <n v="4"/>
    <n v="14368"/>
  </r>
  <r>
    <x v="948"/>
    <x v="934"/>
    <x v="4"/>
    <x v="141"/>
    <n v="5295"/>
    <n v="0.39"/>
    <n v="4.2"/>
    <n v="39724"/>
  </r>
  <r>
    <x v="949"/>
    <x v="935"/>
    <x v="4"/>
    <x v="141"/>
    <n v="3595"/>
    <n v="0.5"/>
    <n v="3.8"/>
    <n v="9791"/>
  </r>
  <r>
    <x v="950"/>
    <x v="936"/>
    <x v="4"/>
    <x v="135"/>
    <n v="1699"/>
    <n v="0.26"/>
    <n v="4.2"/>
    <n v="2891"/>
  </r>
  <r>
    <x v="951"/>
    <x v="937"/>
    <x v="4"/>
    <x v="136"/>
    <n v="1129"/>
    <n v="0.34"/>
    <n v="4"/>
    <n v="2446"/>
  </r>
  <r>
    <x v="952"/>
    <x v="938"/>
    <x v="4"/>
    <x v="144"/>
    <n v="5795"/>
    <n v="0.4"/>
    <n v="3.9"/>
    <n v="25340"/>
  </r>
  <r>
    <x v="953"/>
    <x v="939"/>
    <x v="4"/>
    <x v="155"/>
    <n v="999"/>
    <n v="0.62"/>
    <n v="4.3"/>
    <n v="3096"/>
  </r>
  <r>
    <x v="954"/>
    <x v="940"/>
    <x v="4"/>
    <x v="136"/>
    <n v="2400"/>
    <n v="0.54"/>
    <n v="3.8"/>
    <n v="4"/>
  </r>
  <r>
    <x v="955"/>
    <x v="941"/>
    <x v="4"/>
    <x v="147"/>
    <n v="1299"/>
    <n v="0.42"/>
    <n v="4"/>
    <n v="119"/>
  </r>
  <r>
    <x v="956"/>
    <x v="942"/>
    <x v="4"/>
    <x v="156"/>
    <n v="1299"/>
    <n v="0"/>
    <n v="4.2"/>
    <n v="40106"/>
  </r>
  <r>
    <x v="957"/>
    <x v="943"/>
    <x v="4"/>
    <x v="143"/>
    <n v="1090"/>
    <n v="0.5"/>
    <n v="4.2"/>
    <n v="13029"/>
  </r>
  <r>
    <x v="958"/>
    <x v="944"/>
    <x v="4"/>
    <x v="137"/>
    <n v="2000"/>
    <n v="0.55000000000000004"/>
    <n v="3.6"/>
    <n v="291"/>
  </r>
  <r>
    <x v="959"/>
    <x v="945"/>
    <x v="4"/>
    <x v="143"/>
    <n v="1545"/>
    <n v="0.14000000000000001"/>
    <n v="4.3"/>
    <n v="15453"/>
  </r>
  <r>
    <x v="960"/>
    <x v="946"/>
    <x v="4"/>
    <x v="138"/>
    <n v="1999"/>
    <n v="0.45"/>
    <n v="4"/>
    <n v="604"/>
  </r>
  <r>
    <x v="961"/>
    <x v="947"/>
    <x v="4"/>
    <x v="143"/>
    <n v="875"/>
    <n v="0.11"/>
    <n v="4.2"/>
    <n v="46647"/>
  </r>
  <r>
    <x v="962"/>
    <x v="948"/>
    <x v="4"/>
    <x v="148"/>
    <n v="15270"/>
    <n v="0.59"/>
    <n v="4.0999999999999996"/>
    <n v="3233"/>
  </r>
  <r>
    <x v="963"/>
    <x v="949"/>
    <x v="4"/>
    <x v="152"/>
    <n v="4195"/>
    <n v="0.24"/>
    <n v="4"/>
    <n v="1282"/>
  </r>
  <r>
    <x v="964"/>
    <x v="950"/>
    <x v="4"/>
    <x v="136"/>
    <n v="1989"/>
    <n v="0.6"/>
    <n v="4.3"/>
    <n v="70"/>
  </r>
  <r>
    <x v="965"/>
    <x v="951"/>
    <x v="4"/>
    <x v="153"/>
    <n v="5000"/>
    <n v="0.46"/>
    <n v="4"/>
    <n v="26164"/>
  </r>
  <r>
    <x v="966"/>
    <x v="952"/>
    <x v="4"/>
    <x v="143"/>
    <n v="990"/>
    <n v="0.39"/>
    <n v="3.9"/>
    <n v="16166"/>
  </r>
  <r>
    <x v="967"/>
    <x v="953"/>
    <x v="4"/>
    <x v="147"/>
    <n v="1111"/>
    <n v="0.33"/>
    <n v="4.2"/>
    <n v="35693"/>
  </r>
  <r>
    <x v="968"/>
    <x v="954"/>
    <x v="4"/>
    <x v="148"/>
    <n v="10400"/>
    <n v="0.4"/>
    <n v="4.0999999999999996"/>
    <n v="14391"/>
  </r>
  <r>
    <x v="969"/>
    <x v="955"/>
    <x v="4"/>
    <x v="157"/>
    <n v="2490"/>
    <n v="0.27"/>
    <n v="4.4000000000000004"/>
    <n v="7946"/>
  </r>
  <r>
    <x v="970"/>
    <x v="956"/>
    <x v="4"/>
    <x v="147"/>
    <n v="1900"/>
    <n v="0.37"/>
    <n v="4"/>
    <n v="1765"/>
  </r>
  <r>
    <x v="971"/>
    <x v="957"/>
    <x v="4"/>
    <x v="144"/>
    <n v="6295"/>
    <n v="0.48"/>
    <n v="3.8"/>
    <n v="14062"/>
  </r>
  <r>
    <x v="972"/>
    <x v="958"/>
    <x v="4"/>
    <x v="155"/>
    <n v="999"/>
    <n v="0.65"/>
    <n v="4"/>
    <n v="15646"/>
  </r>
  <r>
    <x v="973"/>
    <x v="959"/>
    <x v="4"/>
    <x v="137"/>
    <n v="1699"/>
    <n v="0.38"/>
    <n v="3.1"/>
    <n v="111"/>
  </r>
  <r>
    <x v="974"/>
    <x v="960"/>
    <x v="4"/>
    <x v="158"/>
    <n v="1500"/>
    <n v="0.47"/>
    <n v="4.3"/>
    <n v="9695"/>
  </r>
  <r>
    <x v="975"/>
    <x v="961"/>
    <x v="4"/>
    <x v="148"/>
    <n v="9650"/>
    <n v="0.48"/>
    <n v="4.2"/>
    <n v="1772"/>
  </r>
  <r>
    <x v="976"/>
    <x v="962"/>
    <x v="4"/>
    <x v="144"/>
    <n v="10590"/>
    <n v="0.34"/>
    <n v="4.4000000000000004"/>
    <n v="11499"/>
  </r>
  <r>
    <x v="977"/>
    <x v="963"/>
    <x v="4"/>
    <x v="139"/>
    <n v="1999"/>
    <n v="0.6"/>
    <n v="4.0999999999999996"/>
    <n v="2162"/>
  </r>
  <r>
    <x v="978"/>
    <x v="964"/>
    <x v="4"/>
    <x v="159"/>
    <n v="89"/>
    <n v="0"/>
    <n v="4.2"/>
    <n v="19621"/>
  </r>
  <r>
    <x v="979"/>
    <x v="965"/>
    <x v="4"/>
    <x v="160"/>
    <n v="2485"/>
    <n v="0.44"/>
    <n v="4.0999999999999996"/>
    <n v="19998"/>
  </r>
  <r>
    <x v="980"/>
    <x v="966"/>
    <x v="4"/>
    <x v="151"/>
    <n v="899"/>
    <n v="0.61"/>
    <n v="4.0999999999999996"/>
    <n v="1051"/>
  </r>
  <r>
    <x v="981"/>
    <x v="967"/>
    <x v="4"/>
    <x v="136"/>
    <n v="3279"/>
    <n v="0.34"/>
    <n v="4.0999999999999996"/>
    <n v="1716"/>
  </r>
  <r>
    <x v="982"/>
    <x v="968"/>
    <x v="4"/>
    <x v="161"/>
    <n v="3799"/>
    <n v="0.26"/>
    <n v="3.9"/>
    <n v="32931"/>
  </r>
  <r>
    <x v="983"/>
    <x v="969"/>
    <x v="4"/>
    <x v="135"/>
    <n v="1249"/>
    <n v="0.28000000000000003"/>
    <n v="3.9"/>
    <n v="17424"/>
  </r>
  <r>
    <x v="984"/>
    <x v="970"/>
    <x v="4"/>
    <x v="146"/>
    <n v="5000"/>
    <n v="0.5"/>
    <n v="3.8"/>
    <n v="1889"/>
  </r>
  <r>
    <x v="985"/>
    <x v="971"/>
    <x v="4"/>
    <x v="145"/>
    <n v="7299"/>
    <n v="0.51"/>
    <n v="4"/>
    <n v="10324"/>
  </r>
  <r>
    <x v="986"/>
    <x v="972"/>
    <x v="4"/>
    <x v="143"/>
    <n v="625"/>
    <n v="0.2"/>
    <n v="4.2"/>
    <n v="5355"/>
  </r>
  <r>
    <x v="987"/>
    <x v="973"/>
    <x v="4"/>
    <x v="149"/>
    <n v="1020"/>
    <n v="0.36"/>
    <n v="4.0999999999999996"/>
    <n v="3366"/>
  </r>
  <r>
    <x v="988"/>
    <x v="974"/>
    <x v="4"/>
    <x v="162"/>
    <n v="8990"/>
    <n v="0.47"/>
    <n v="4.3"/>
    <n v="1017"/>
  </r>
  <r>
    <x v="989"/>
    <x v="975"/>
    <x v="4"/>
    <x v="163"/>
    <n v="1639"/>
    <n v="0.14000000000000001"/>
    <n v="3.7"/>
    <n v="787"/>
  </r>
  <r>
    <x v="990"/>
    <x v="976"/>
    <x v="4"/>
    <x v="142"/>
    <n v="899"/>
    <n v="0.16"/>
    <n v="4.2"/>
    <n v="18462"/>
  </r>
  <r>
    <x v="991"/>
    <x v="977"/>
    <x v="4"/>
    <x v="155"/>
    <n v="1199"/>
    <n v="0.71"/>
    <n v="4.3"/>
    <n v="629"/>
  </r>
  <r>
    <x v="992"/>
    <x v="978"/>
    <x v="4"/>
    <x v="139"/>
    <n v="1899"/>
    <n v="0.42"/>
    <n v="4.3"/>
    <n v="15276"/>
  </r>
  <r>
    <x v="993"/>
    <x v="979"/>
    <x v="4"/>
    <x v="150"/>
    <n v="11595"/>
    <n v="0.24"/>
    <n v="4.4000000000000004"/>
    <n v="2981"/>
  </r>
  <r>
    <x v="994"/>
    <x v="980"/>
    <x v="4"/>
    <x v="135"/>
    <n v="1750"/>
    <n v="0.23"/>
    <n v="3.8"/>
    <n v="2466"/>
  </r>
  <r>
    <x v="995"/>
    <x v="981"/>
    <x v="4"/>
    <x v="164"/>
    <n v="2095"/>
    <n v="0"/>
    <n v="4.5"/>
    <n v="7949"/>
  </r>
  <r>
    <x v="996"/>
    <x v="982"/>
    <x v="4"/>
    <x v="136"/>
    <n v="2300"/>
    <n v="0.35"/>
    <n v="3.8"/>
    <n v="95"/>
  </r>
  <r>
    <x v="997"/>
    <x v="983"/>
    <x v="4"/>
    <x v="165"/>
    <n v="2990"/>
    <n v="0.26"/>
    <n v="3.8"/>
    <n v="1558"/>
  </r>
  <r>
    <x v="998"/>
    <x v="984"/>
    <x v="4"/>
    <x v="144"/>
    <n v="4295"/>
    <n v="0.14000000000000001"/>
    <n v="4.0999999999999996"/>
    <n v="26543"/>
  </r>
  <r>
    <x v="999"/>
    <x v="985"/>
    <x v="4"/>
    <x v="151"/>
    <n v="199"/>
    <n v="0.11"/>
    <n v="4.0999999999999996"/>
    <n v="3688"/>
  </r>
  <r>
    <x v="1000"/>
    <x v="986"/>
    <x v="4"/>
    <x v="144"/>
    <n v="2499"/>
    <n v="0.54"/>
    <n v="3.8"/>
    <n v="4383"/>
  </r>
  <r>
    <x v="1001"/>
    <x v="987"/>
    <x v="4"/>
    <x v="166"/>
    <n v="499"/>
    <n v="0.51"/>
    <n v="3.3"/>
    <n v="478"/>
  </r>
  <r>
    <x v="1002"/>
    <x v="988"/>
    <x v="4"/>
    <x v="136"/>
    <n v="2400"/>
    <n v="0.18"/>
    <n v="4"/>
    <n v="237"/>
  </r>
  <r>
    <x v="1003"/>
    <x v="989"/>
    <x v="4"/>
    <x v="138"/>
    <n v="749"/>
    <n v="0.56999999999999995"/>
    <n v="4.5999999999999996"/>
    <n v="124"/>
  </r>
  <r>
    <x v="1004"/>
    <x v="990"/>
    <x v="4"/>
    <x v="135"/>
    <n v="1775"/>
    <n v="0.16"/>
    <n v="3.9"/>
    <n v="14667"/>
  </r>
  <r>
    <x v="1005"/>
    <x v="991"/>
    <x v="4"/>
    <x v="138"/>
    <n v="1599"/>
    <n v="0.71"/>
    <n v="3.7"/>
    <n v="6"/>
  </r>
  <r>
    <x v="1006"/>
    <x v="992"/>
    <x v="4"/>
    <x v="164"/>
    <n v="1795"/>
    <n v="0.39"/>
    <n v="4.2"/>
    <n v="4244"/>
  </r>
  <r>
    <x v="1007"/>
    <x v="993"/>
    <x v="4"/>
    <x v="137"/>
    <n v="15999"/>
    <n v="0.4"/>
    <n v="4.0999999999999996"/>
    <n v="1017"/>
  </r>
  <r>
    <x v="1008"/>
    <x v="994"/>
    <x v="4"/>
    <x v="167"/>
    <n v="1490"/>
    <n v="0.33"/>
    <n v="4.0999999999999996"/>
    <n v="12999"/>
  </r>
  <r>
    <x v="1009"/>
    <x v="995"/>
    <x v="4"/>
    <x v="147"/>
    <n v="1999"/>
    <n v="0.35"/>
    <n v="3.8"/>
    <n v="311"/>
  </r>
  <r>
    <x v="1010"/>
    <x v="996"/>
    <x v="4"/>
    <x v="168"/>
    <n v="499"/>
    <n v="0.41"/>
    <n v="4.0999999999999996"/>
    <n v="4238"/>
  </r>
  <r>
    <x v="1011"/>
    <x v="997"/>
    <x v="4"/>
    <x v="159"/>
    <n v="299"/>
    <n v="0.46"/>
    <n v="4.5999999999999996"/>
    <n v="2781"/>
  </r>
  <r>
    <x v="1012"/>
    <x v="998"/>
    <x v="4"/>
    <x v="169"/>
    <n v="600"/>
    <n v="0"/>
    <n v="4.0999999999999996"/>
    <n v="10907"/>
  </r>
  <r>
    <x v="1013"/>
    <x v="999"/>
    <x v="4"/>
    <x v="170"/>
    <n v="1130"/>
    <n v="0"/>
    <n v="4.2"/>
    <n v="13250"/>
  </r>
  <r>
    <x v="1014"/>
    <x v="1000"/>
    <x v="4"/>
    <x v="144"/>
    <n v="6295"/>
    <n v="0.48"/>
    <n v="3.9"/>
    <n v="43070"/>
  </r>
  <r>
    <x v="1015"/>
    <x v="1001"/>
    <x v="4"/>
    <x v="144"/>
    <n v="9455"/>
    <n v="0.62"/>
    <n v="4.0999999999999996"/>
    <n v="11828"/>
  </r>
  <r>
    <x v="1016"/>
    <x v="1002"/>
    <x v="4"/>
    <x v="155"/>
    <n v="699"/>
    <n v="0.47"/>
    <n v="4.0999999999999996"/>
    <n v="1240"/>
  </r>
  <r>
    <x v="1017"/>
    <x v="1003"/>
    <x v="4"/>
    <x v="144"/>
    <n v="4999"/>
    <n v="0.36"/>
    <n v="4"/>
    <n v="20869"/>
  </r>
  <r>
    <x v="1018"/>
    <x v="1004"/>
    <x v="4"/>
    <x v="171"/>
    <n v="2900"/>
    <n v="0.45"/>
    <n v="3.7"/>
    <n v="441"/>
  </r>
  <r>
    <x v="1019"/>
    <x v="1005"/>
    <x v="4"/>
    <x v="142"/>
    <n v="2499"/>
    <n v="0.2"/>
    <n v="4.0999999999999996"/>
    <n v="1034"/>
  </r>
  <r>
    <x v="1020"/>
    <x v="1006"/>
    <x v="4"/>
    <x v="143"/>
    <n v="1190"/>
    <n v="0.48"/>
    <n v="4.0999999999999996"/>
    <n v="37126"/>
  </r>
  <r>
    <x v="1021"/>
    <x v="1007"/>
    <x v="4"/>
    <x v="142"/>
    <n v="2100"/>
    <n v="0.28999999999999998"/>
    <n v="4.0999999999999996"/>
    <n v="6355"/>
  </r>
  <r>
    <x v="1022"/>
    <x v="1008"/>
    <x v="4"/>
    <x v="159"/>
    <n v="499"/>
    <n v="0.6"/>
    <n v="3.3"/>
    <n v="12"/>
  </r>
  <r>
    <x v="1023"/>
    <x v="1009"/>
    <x v="4"/>
    <x v="149"/>
    <n v="825"/>
    <n v="0.26"/>
    <n v="4.0999999999999996"/>
    <n v="13165"/>
  </r>
  <r>
    <x v="1024"/>
    <x v="1010"/>
    <x v="4"/>
    <x v="157"/>
    <n v="1499"/>
    <n v="0.33"/>
    <n v="4.0999999999999996"/>
    <n v="1646"/>
  </r>
  <r>
    <x v="1025"/>
    <x v="1011"/>
    <x v="4"/>
    <x v="161"/>
    <n v="9995"/>
    <n v="0.1"/>
    <n v="4.4000000000000004"/>
    <n v="17994"/>
  </r>
  <r>
    <x v="1026"/>
    <x v="1012"/>
    <x v="4"/>
    <x v="138"/>
    <n v="999"/>
    <n v="0.55000000000000004"/>
    <n v="4.3"/>
    <n v="610"/>
  </r>
  <r>
    <x v="1027"/>
    <x v="1013"/>
    <x v="4"/>
    <x v="144"/>
    <n v="6000"/>
    <n v="0.59"/>
    <n v="4.0999999999999996"/>
    <n v="8866"/>
  </r>
  <r>
    <x v="1028"/>
    <x v="1014"/>
    <x v="4"/>
    <x v="171"/>
    <n v="3945"/>
    <n v="0.31"/>
    <n v="3.7"/>
    <n v="13406"/>
  </r>
  <r>
    <x v="1029"/>
    <x v="1015"/>
    <x v="4"/>
    <x v="145"/>
    <n v="1999"/>
    <n v="0.28000000000000003"/>
    <n v="4.8"/>
    <n v="53803"/>
  </r>
  <r>
    <x v="1030"/>
    <x v="1016"/>
    <x v="4"/>
    <x v="142"/>
    <n v="3499"/>
    <n v="0.2"/>
    <n v="4.5"/>
    <n v="546"/>
  </r>
  <r>
    <x v="1031"/>
    <x v="1017"/>
    <x v="4"/>
    <x v="145"/>
    <n v="5550"/>
    <n v="0.62"/>
    <n v="4"/>
    <n v="5292"/>
  </r>
  <r>
    <x v="1032"/>
    <x v="1018"/>
    <x v="4"/>
    <x v="145"/>
    <n v="4590"/>
    <n v="0.48"/>
    <n v="4.0999999999999996"/>
    <n v="444"/>
  </r>
  <r>
    <x v="1033"/>
    <x v="1019"/>
    <x v="4"/>
    <x v="139"/>
    <n v="499"/>
    <n v="0.38"/>
    <n v="3.9"/>
    <n v="4584"/>
  </r>
  <r>
    <x v="1034"/>
    <x v="1020"/>
    <x v="4"/>
    <x v="145"/>
    <n v="4400"/>
    <n v="0.41"/>
    <n v="4.0999999999999996"/>
    <n v="14947"/>
  </r>
  <r>
    <x v="1035"/>
    <x v="1021"/>
    <x v="4"/>
    <x v="143"/>
    <n v="1000"/>
    <n v="0.52"/>
    <n v="4.2"/>
    <n v="1559"/>
  </r>
  <r>
    <x v="1036"/>
    <x v="1022"/>
    <x v="4"/>
    <x v="138"/>
    <n v="299"/>
    <n v="0.18"/>
    <n v="4.0999999999999996"/>
    <n v="1660"/>
  </r>
  <r>
    <x v="1037"/>
    <x v="1023"/>
    <x v="4"/>
    <x v="138"/>
    <n v="799"/>
    <n v="0.78"/>
    <n v="3.5"/>
    <n v="132"/>
  </r>
  <r>
    <x v="1038"/>
    <x v="1024"/>
    <x v="4"/>
    <x v="160"/>
    <n v="5190"/>
    <n v="0.31"/>
    <n v="4.3"/>
    <n v="28629"/>
  </r>
  <r>
    <x v="1039"/>
    <x v="1025"/>
    <x v="4"/>
    <x v="135"/>
    <n v="1345"/>
    <n v="0.48"/>
    <n v="3.9"/>
    <n v="8446"/>
  </r>
  <r>
    <x v="1040"/>
    <x v="1026"/>
    <x v="4"/>
    <x v="141"/>
    <n v="4000"/>
    <n v="0.48"/>
    <n v="4.2"/>
    <n v="11199"/>
  </r>
  <r>
    <x v="1041"/>
    <x v="1027"/>
    <x v="7"/>
    <x v="172"/>
    <n v="4000"/>
    <n v="0.42"/>
    <n v="3.8"/>
    <n v="1118"/>
  </r>
  <r>
    <x v="1042"/>
    <x v="1028"/>
    <x v="4"/>
    <x v="137"/>
    <n v="1599"/>
    <n v="0.51"/>
    <n v="4.5"/>
    <n v="11"/>
  </r>
  <r>
    <x v="1043"/>
    <x v="1029"/>
    <x v="4"/>
    <x v="173"/>
    <n v="9999"/>
    <n v="0.45"/>
    <n v="3.8"/>
    <n v="4353"/>
  </r>
  <r>
    <x v="1044"/>
    <x v="1030"/>
    <x v="4"/>
    <x v="137"/>
    <n v="1990"/>
    <n v="0.55000000000000004"/>
    <n v="4.0999999999999996"/>
    <n v="185"/>
  </r>
  <r>
    <x v="1045"/>
    <x v="1031"/>
    <x v="4"/>
    <x v="142"/>
    <n v="1695"/>
    <n v="0"/>
    <n v="4.2"/>
    <n v="14290"/>
  </r>
  <r>
    <x v="1046"/>
    <x v="1032"/>
    <x v="4"/>
    <x v="143"/>
    <n v="940"/>
    <n v="0.47"/>
    <n v="4.0999999999999996"/>
    <n v="3036"/>
  </r>
  <r>
    <x v="1047"/>
    <x v="1033"/>
    <x v="4"/>
    <x v="145"/>
    <n v="4700"/>
    <n v="0.43"/>
    <n v="4.2"/>
    <n v="1296"/>
  </r>
  <r>
    <x v="1048"/>
    <x v="1034"/>
    <x v="4"/>
    <x v="145"/>
    <n v="2999"/>
    <n v="0.52"/>
    <n v="4.5"/>
    <n v="19"/>
  </r>
  <r>
    <x v="1049"/>
    <x v="1035"/>
    <x v="4"/>
    <x v="159"/>
    <n v="79"/>
    <n v="0"/>
    <n v="4"/>
    <n v="97"/>
  </r>
  <r>
    <x v="1050"/>
    <x v="1036"/>
    <x v="4"/>
    <x v="148"/>
    <n v="14290"/>
    <n v="0.51"/>
    <n v="4.4000000000000004"/>
    <n v="1771"/>
  </r>
  <r>
    <x v="1051"/>
    <x v="1037"/>
    <x v="4"/>
    <x v="141"/>
    <n v="3945"/>
    <n v="0.32"/>
    <n v="4"/>
    <n v="15034"/>
  </r>
  <r>
    <x v="1052"/>
    <x v="1038"/>
    <x v="4"/>
    <x v="173"/>
    <n v="5999"/>
    <n v="0.47"/>
    <n v="4"/>
    <n v="3242"/>
  </r>
  <r>
    <x v="1053"/>
    <x v="1039"/>
    <x v="4"/>
    <x v="147"/>
    <n v="1950"/>
    <n v="0.39"/>
    <n v="3.9"/>
    <n v="2832"/>
  </r>
  <r>
    <x v="1054"/>
    <x v="1040"/>
    <x v="4"/>
    <x v="157"/>
    <n v="2799"/>
    <n v="0.49"/>
    <n v="4"/>
    <n v="1498"/>
  </r>
  <r>
    <x v="1055"/>
    <x v="1041"/>
    <x v="4"/>
    <x v="135"/>
    <n v="1950"/>
    <n v="0.49"/>
    <n v="3.8"/>
    <n v="305"/>
  </r>
  <r>
    <x v="1056"/>
    <x v="1042"/>
    <x v="4"/>
    <x v="161"/>
    <n v="9999"/>
    <n v="0.4"/>
    <n v="4.2"/>
    <n v="1191"/>
  </r>
  <r>
    <x v="1057"/>
    <x v="1043"/>
    <x v="4"/>
    <x v="174"/>
    <n v="12999"/>
    <n v="0.23"/>
    <n v="4.3"/>
    <n v="4049"/>
  </r>
  <r>
    <x v="1058"/>
    <x v="1044"/>
    <x v="4"/>
    <x v="175"/>
    <n v="699"/>
    <n v="0"/>
    <n v="4.2"/>
    <n v="3160"/>
  </r>
  <r>
    <x v="1059"/>
    <x v="1045"/>
    <x v="4"/>
    <x v="160"/>
    <n v="3190"/>
    <n v="0.31"/>
    <n v="4.3"/>
    <n v="9650"/>
  </r>
  <r>
    <x v="1060"/>
    <x v="1046"/>
    <x v="4"/>
    <x v="176"/>
    <n v="799"/>
    <n v="0.6"/>
    <n v="4.2"/>
    <n v="3846"/>
  </r>
  <r>
    <x v="1061"/>
    <x v="1047"/>
    <x v="4"/>
    <x v="138"/>
    <n v="499"/>
    <n v="0.4"/>
    <n v="4.4000000000000004"/>
    <n v="290"/>
  </r>
  <r>
    <x v="1062"/>
    <x v="1048"/>
    <x v="4"/>
    <x v="153"/>
    <n v="1499"/>
    <n v="0.2"/>
    <n v="3.8"/>
    <n v="2206"/>
  </r>
  <r>
    <x v="1063"/>
    <x v="1049"/>
    <x v="4"/>
    <x v="160"/>
    <n v="2660"/>
    <n v="0.47"/>
    <n v="4.0999999999999996"/>
    <n v="9349"/>
  </r>
  <r>
    <x v="1064"/>
    <x v="1050"/>
    <x v="4"/>
    <x v="139"/>
    <n v="2799"/>
    <n v="0.79"/>
    <n v="3.9"/>
    <n v="578"/>
  </r>
  <r>
    <x v="1065"/>
    <x v="1051"/>
    <x v="4"/>
    <x v="164"/>
    <n v="1499"/>
    <n v="0"/>
    <n v="4.3"/>
    <n v="9331"/>
  </r>
  <r>
    <x v="1066"/>
    <x v="1052"/>
    <x v="4"/>
    <x v="174"/>
    <n v="59900"/>
    <n v="0.76"/>
    <n v="4.4000000000000004"/>
    <n v="3837"/>
  </r>
  <r>
    <x v="1067"/>
    <x v="1053"/>
    <x v="4"/>
    <x v="175"/>
    <n v="1900"/>
    <n v="0.11"/>
    <n v="3.6"/>
    <n v="11456"/>
  </r>
  <r>
    <x v="1068"/>
    <x v="1054"/>
    <x v="4"/>
    <x v="136"/>
    <n v="999"/>
    <n v="0.35"/>
    <n v="3.8"/>
    <n v="49"/>
  </r>
  <r>
    <x v="1069"/>
    <x v="1055"/>
    <x v="4"/>
    <x v="144"/>
    <n v="6375"/>
    <n v="0.49"/>
    <n v="4"/>
    <n v="4978"/>
  </r>
  <r>
    <x v="1070"/>
    <x v="1056"/>
    <x v="4"/>
    <x v="151"/>
    <n v="499"/>
    <n v="0.6"/>
    <n v="4.0999999999999996"/>
    <n v="1996"/>
  </r>
  <r>
    <x v="1071"/>
    <x v="1057"/>
    <x v="4"/>
    <x v="155"/>
    <n v="1899"/>
    <n v="0.42"/>
    <n v="4.3"/>
    <n v="1811"/>
  </r>
  <r>
    <x v="1072"/>
    <x v="1058"/>
    <x v="4"/>
    <x v="135"/>
    <n v="1490"/>
    <n v="0.55000000000000004"/>
    <n v="4"/>
    <n v="2198"/>
  </r>
  <r>
    <x v="1073"/>
    <x v="1059"/>
    <x v="4"/>
    <x v="156"/>
    <n v="350"/>
    <n v="0.26"/>
    <n v="3.9"/>
    <n v="13127"/>
  </r>
  <r>
    <x v="1074"/>
    <x v="1060"/>
    <x v="4"/>
    <x v="148"/>
    <n v="8500"/>
    <n v="0.24"/>
    <n v="4.4000000000000004"/>
    <n v="5865"/>
  </r>
  <r>
    <x v="1075"/>
    <x v="1061"/>
    <x v="4"/>
    <x v="177"/>
    <n v="2499"/>
    <n v="0.41"/>
    <n v="3.7"/>
    <n v="1067"/>
  </r>
  <r>
    <x v="1076"/>
    <x v="1062"/>
    <x v="4"/>
    <x v="152"/>
    <n v="1560"/>
    <n v="0.36"/>
    <n v="3.6"/>
    <n v="4881"/>
  </r>
  <r>
    <x v="1077"/>
    <x v="1063"/>
    <x v="4"/>
    <x v="153"/>
    <n v="6500"/>
    <n v="0.49"/>
    <n v="3.7"/>
    <n v="11217"/>
  </r>
  <r>
    <x v="1078"/>
    <x v="1064"/>
    <x v="4"/>
    <x v="142"/>
    <n v="999"/>
    <n v="0.74"/>
    <n v="4"/>
    <n v="43"/>
  </r>
  <r>
    <x v="1079"/>
    <x v="1065"/>
    <x v="4"/>
    <x v="144"/>
    <n v="7795"/>
    <n v="0.57999999999999996"/>
    <n v="4.2"/>
    <n v="4664"/>
  </r>
  <r>
    <x v="1080"/>
    <x v="1066"/>
    <x v="4"/>
    <x v="152"/>
    <n v="5995"/>
    <n v="0.28999999999999998"/>
    <n v="3.8"/>
    <n v="2112"/>
  </r>
  <r>
    <x v="1081"/>
    <x v="1067"/>
    <x v="4"/>
    <x v="178"/>
    <n v="299"/>
    <n v="0.37"/>
    <n v="4.2"/>
    <n v="2737"/>
  </r>
  <r>
    <x v="1082"/>
    <x v="1068"/>
    <x v="4"/>
    <x v="160"/>
    <n v="2349"/>
    <n v="0.38"/>
    <n v="3.9"/>
    <n v="9019"/>
  </r>
  <r>
    <x v="1083"/>
    <x v="1069"/>
    <x v="4"/>
    <x v="151"/>
    <n v="499"/>
    <n v="0.6"/>
    <n v="4"/>
    <n v="10234"/>
  </r>
  <r>
    <x v="1084"/>
    <x v="1070"/>
    <x v="4"/>
    <x v="179"/>
    <n v="1299"/>
    <n v="0.64"/>
    <n v="4.0999999999999996"/>
    <n v="550"/>
  </r>
  <r>
    <x v="1085"/>
    <x v="1071"/>
    <x v="4"/>
    <x v="142"/>
    <n v="499"/>
    <n v="0.44"/>
    <n v="4.8"/>
    <n v="28"/>
  </r>
  <r>
    <x v="1086"/>
    <x v="1072"/>
    <x v="4"/>
    <x v="160"/>
    <n v="4775"/>
    <n v="0.57999999999999996"/>
    <n v="4.2"/>
    <n v="1353"/>
  </r>
  <r>
    <x v="1087"/>
    <x v="1073"/>
    <x v="4"/>
    <x v="138"/>
    <n v="1230"/>
    <n v="0.35"/>
    <n v="4.0999999999999996"/>
    <n v="2138"/>
  </r>
  <r>
    <x v="1088"/>
    <x v="1074"/>
    <x v="4"/>
    <x v="157"/>
    <n v="1999"/>
    <n v="0.53"/>
    <n v="4"/>
    <n v="1679"/>
  </r>
  <r>
    <x v="1089"/>
    <x v="1075"/>
    <x v="4"/>
    <x v="180"/>
    <n v="5156"/>
    <n v="0.28999999999999998"/>
    <n v="3.9"/>
    <n v="12837"/>
  </r>
  <r>
    <x v="1090"/>
    <x v="1076"/>
    <x v="4"/>
    <x v="181"/>
    <n v="1999"/>
    <n v="0.15"/>
    <n v="4.0999999999999996"/>
    <n v="8873"/>
  </r>
  <r>
    <x v="1091"/>
    <x v="1077"/>
    <x v="4"/>
    <x v="152"/>
    <n v="2095"/>
    <n v="0.12"/>
    <n v="4.3"/>
    <n v="7681"/>
  </r>
  <r>
    <x v="1092"/>
    <x v="1078"/>
    <x v="4"/>
    <x v="137"/>
    <n v="19825"/>
    <n v="0.37"/>
    <n v="4.0999999999999996"/>
    <n v="322"/>
  </r>
  <r>
    <x v="1093"/>
    <x v="1079"/>
    <x v="4"/>
    <x v="143"/>
    <n v="1920"/>
    <n v="0.43"/>
    <n v="4.2"/>
    <n v="9772"/>
  </r>
  <r>
    <x v="1094"/>
    <x v="1080"/>
    <x v="4"/>
    <x v="175"/>
    <n v="16000"/>
    <n v="0.49"/>
    <n v="3.9"/>
    <n v="18497"/>
  </r>
  <r>
    <x v="1095"/>
    <x v="1081"/>
    <x v="4"/>
    <x v="153"/>
    <n v="2199"/>
    <n v="0.77"/>
    <n v="3.7"/>
    <n v="53"/>
  </r>
  <r>
    <x v="1096"/>
    <x v="1082"/>
    <x v="4"/>
    <x v="154"/>
    <n v="14999"/>
    <n v="0.53"/>
    <n v="4.0999999999999996"/>
    <n v="1728"/>
  </r>
  <r>
    <x v="1097"/>
    <x v="1083"/>
    <x v="4"/>
    <x v="159"/>
    <n v="1799"/>
    <n v="0.11"/>
    <n v="4"/>
    <n v="2877"/>
  </r>
  <r>
    <x v="1098"/>
    <x v="1084"/>
    <x v="4"/>
    <x v="143"/>
    <n v="1950"/>
    <n v="0.46"/>
    <n v="3.8"/>
    <n v="250"/>
  </r>
  <r>
    <x v="1099"/>
    <x v="1085"/>
    <x v="4"/>
    <x v="147"/>
    <n v="2995"/>
    <n v="0.61"/>
    <n v="4.2"/>
    <n v="5178"/>
  </r>
  <r>
    <x v="1100"/>
    <x v="1086"/>
    <x v="4"/>
    <x v="138"/>
    <n v="999"/>
    <n v="0.5"/>
    <n v="4.5999999999999996"/>
    <n v="79"/>
  </r>
  <r>
    <x v="1101"/>
    <x v="1087"/>
    <x v="4"/>
    <x v="174"/>
    <n v="11995"/>
    <n v="0.27"/>
    <n v="4.0999999999999996"/>
    <n v="4157"/>
  </r>
  <r>
    <x v="1102"/>
    <x v="1088"/>
    <x v="4"/>
    <x v="136"/>
    <n v="2999"/>
    <n v="0.49"/>
    <n v="3.3"/>
    <n v="29"/>
  </r>
  <r>
    <x v="1103"/>
    <x v="1089"/>
    <x v="4"/>
    <x v="143"/>
    <n v="1690"/>
    <n v="0.28999999999999998"/>
    <n v="4.2"/>
    <n v="4580"/>
  </r>
  <r>
    <x v="1104"/>
    <x v="1090"/>
    <x v="4"/>
    <x v="155"/>
    <n v="1790"/>
    <n v="0.41"/>
    <n v="4.3"/>
    <n v="1404"/>
  </r>
  <r>
    <x v="1105"/>
    <x v="1091"/>
    <x v="4"/>
    <x v="182"/>
    <n v="8995"/>
    <n v="0.28000000000000003"/>
    <n v="4.3"/>
    <n v="2810"/>
  </r>
  <r>
    <x v="1106"/>
    <x v="1092"/>
    <x v="4"/>
    <x v="158"/>
    <n v="239"/>
    <n v="0"/>
    <n v="4.3"/>
    <n v="7"/>
  </r>
  <r>
    <x v="1107"/>
    <x v="1093"/>
    <x v="4"/>
    <x v="142"/>
    <n v="1599"/>
    <n v="0.56000000000000005"/>
    <n v="4.7"/>
    <n v="1729"/>
  </r>
  <r>
    <x v="1108"/>
    <x v="1094"/>
    <x v="4"/>
    <x v="183"/>
    <n v="4290"/>
    <n v="0.39"/>
    <n v="4.4000000000000004"/>
    <n v="2116"/>
  </r>
  <r>
    <x v="1109"/>
    <x v="1095"/>
    <x v="4"/>
    <x v="154"/>
    <n v="2890"/>
    <n v="0.46"/>
    <n v="3.9"/>
    <n v="463"/>
  </r>
  <r>
    <x v="1110"/>
    <x v="1096"/>
    <x v="4"/>
    <x v="142"/>
    <n v="1299"/>
    <n v="0.62"/>
    <n v="4.7"/>
    <n v="54"/>
  </r>
  <r>
    <x v="1111"/>
    <x v="1097"/>
    <x v="4"/>
    <x v="149"/>
    <n v="640"/>
    <n v="0.2"/>
    <n v="4.0999999999999996"/>
    <n v="7229"/>
  </r>
  <r>
    <x v="1112"/>
    <x v="1098"/>
    <x v="4"/>
    <x v="145"/>
    <n v="3790"/>
    <n v="0.5"/>
    <n v="3.8"/>
    <n v="3842"/>
  </r>
  <r>
    <x v="1113"/>
    <x v="1099"/>
    <x v="4"/>
    <x v="145"/>
    <n v="4560"/>
    <n v="0.43"/>
    <n v="4.4000000000000004"/>
    <n v="646"/>
  </r>
  <r>
    <x v="1114"/>
    <x v="1100"/>
    <x v="4"/>
    <x v="155"/>
    <n v="3500"/>
    <n v="0.66"/>
    <n v="4.3"/>
    <n v="1802"/>
  </r>
  <r>
    <x v="1115"/>
    <x v="1101"/>
    <x v="4"/>
    <x v="145"/>
    <n v="2600"/>
    <n v="0.62"/>
    <n v="3.4"/>
    <n v="252"/>
  </r>
  <r>
    <x v="1116"/>
    <x v="1102"/>
    <x v="4"/>
    <x v="141"/>
    <n v="3300"/>
    <n v="0.39"/>
    <n v="4.2"/>
    <n v="780"/>
  </r>
  <r>
    <x v="1117"/>
    <x v="1103"/>
    <x v="4"/>
    <x v="142"/>
    <n v="699"/>
    <n v="0.7"/>
    <n v="3.7"/>
    <n v="74"/>
  </r>
  <r>
    <x v="1118"/>
    <x v="1104"/>
    <x v="4"/>
    <x v="174"/>
    <n v="23559"/>
    <n v="0.38"/>
    <n v="4.3"/>
    <n v="2026"/>
  </r>
  <r>
    <x v="1119"/>
    <x v="1105"/>
    <x v="4"/>
    <x v="151"/>
    <n v="1599"/>
    <n v="0.41"/>
    <n v="4.3"/>
    <n v="5911"/>
  </r>
  <r>
    <x v="1120"/>
    <x v="1106"/>
    <x v="4"/>
    <x v="150"/>
    <n v="9995"/>
    <n v="0.28000000000000003"/>
    <n v="4.4000000000000004"/>
    <n v="1964"/>
  </r>
  <r>
    <x v="1121"/>
    <x v="1107"/>
    <x v="4"/>
    <x v="136"/>
    <n v="2545"/>
    <n v="0.04"/>
    <n v="4.0999999999999996"/>
    <n v="25"/>
  </r>
  <r>
    <x v="1122"/>
    <x v="1108"/>
    <x v="4"/>
    <x v="152"/>
    <n v="8995"/>
    <n v="0.13"/>
    <n v="4"/>
    <n v="3160"/>
  </r>
  <r>
    <x v="1123"/>
    <x v="1109"/>
    <x v="4"/>
    <x v="157"/>
    <n v="1999"/>
    <n v="0.2"/>
    <n v="4.4000000000000004"/>
    <n v="1558"/>
  </r>
  <r>
    <x v="1124"/>
    <x v="1110"/>
    <x v="4"/>
    <x v="144"/>
    <n v="5500"/>
    <n v="0.47"/>
    <n v="3.8"/>
    <n v="8958"/>
  </r>
  <r>
    <x v="1125"/>
    <x v="1111"/>
    <x v="4"/>
    <x v="177"/>
    <n v="12150"/>
    <n v="0.19"/>
    <n v="4.3"/>
    <n v="13251"/>
  </r>
  <r>
    <x v="1126"/>
    <x v="1112"/>
    <x v="4"/>
    <x v="152"/>
    <n v="4995"/>
    <n v="0.34"/>
    <n v="3.8"/>
    <n v="1393"/>
  </r>
  <r>
    <x v="1127"/>
    <x v="1113"/>
    <x v="4"/>
    <x v="142"/>
    <n v="1499"/>
    <n v="0.55000000000000004"/>
    <n v="2.2999999999999998"/>
    <n v="13"/>
  </r>
  <r>
    <x v="1128"/>
    <x v="1114"/>
    <x v="4"/>
    <x v="153"/>
    <n v="7506"/>
    <n v="0.22"/>
    <n v="4.5"/>
    <n v="7241"/>
  </r>
  <r>
    <x v="1129"/>
    <x v="1115"/>
    <x v="4"/>
    <x v="175"/>
    <n v="18000"/>
    <n v="0.49"/>
    <n v="4"/>
    <n v="16020"/>
  </r>
  <r>
    <x v="1130"/>
    <x v="1116"/>
    <x v="4"/>
    <x v="151"/>
    <n v="1099"/>
    <n v="0.68"/>
    <n v="3.7"/>
    <n v="1470"/>
  </r>
  <r>
    <x v="1131"/>
    <x v="1117"/>
    <x v="8"/>
    <x v="184"/>
    <n v="1900"/>
    <n v="0.53"/>
    <n v="4"/>
    <n v="3663"/>
  </r>
  <r>
    <x v="1132"/>
    <x v="1118"/>
    <x v="4"/>
    <x v="147"/>
    <n v="1850"/>
    <n v="0.27"/>
    <n v="4.4000000000000004"/>
    <n v="638"/>
  </r>
  <r>
    <x v="1133"/>
    <x v="1119"/>
    <x v="4"/>
    <x v="173"/>
    <n v="9999"/>
    <n v="0.38"/>
    <n v="4.0999999999999996"/>
    <n v="3552"/>
  </r>
  <r>
    <x v="1134"/>
    <x v="1120"/>
    <x v="4"/>
    <x v="142"/>
    <n v="3995"/>
    <n v="0.31"/>
    <n v="4.4000000000000004"/>
    <n v="11148"/>
  </r>
  <r>
    <x v="1135"/>
    <x v="1121"/>
    <x v="4"/>
    <x v="177"/>
    <n v="1499"/>
    <n v="0.52"/>
    <n v="3.1"/>
    <n v="2449"/>
  </r>
  <r>
    <x v="1136"/>
    <x v="1122"/>
    <x v="4"/>
    <x v="152"/>
    <n v="3295"/>
    <n v="0.12"/>
    <n v="4.3"/>
    <n v="2299"/>
  </r>
  <r>
    <x v="1137"/>
    <x v="1123"/>
    <x v="4"/>
    <x v="157"/>
    <n v="2695"/>
    <n v="0.39"/>
    <n v="4.4000000000000004"/>
    <n v="6027"/>
  </r>
  <r>
    <x v="1138"/>
    <x v="1124"/>
    <x v="4"/>
    <x v="155"/>
    <n v="2290"/>
    <n v="0.39"/>
    <n v="4.4000000000000004"/>
    <n v="461"/>
  </r>
  <r>
    <x v="1139"/>
    <x v="1125"/>
    <x v="4"/>
    <x v="156"/>
    <n v="3099"/>
    <n v="0.33"/>
    <n v="4.0999999999999996"/>
    <n v="282"/>
  </r>
  <r>
    <x v="1140"/>
    <x v="1126"/>
    <x v="4"/>
    <x v="149"/>
    <n v="1075"/>
    <n v="7.0000000000000007E-2"/>
    <n v="4.0999999999999996"/>
    <n v="9275"/>
  </r>
  <r>
    <x v="1141"/>
    <x v="1127"/>
    <x v="4"/>
    <x v="154"/>
    <n v="6999"/>
    <n v="0.55000000000000004"/>
    <n v="4"/>
    <n v="743"/>
  </r>
  <r>
    <x v="1142"/>
    <x v="1128"/>
    <x v="4"/>
    <x v="145"/>
    <n v="2499"/>
    <n v="0.57999999999999996"/>
    <n v="3.6"/>
    <n v="328"/>
  </r>
  <r>
    <x v="1143"/>
    <x v="1129"/>
    <x v="4"/>
    <x v="145"/>
    <n v="7290"/>
    <n v="0.51"/>
    <n v="3.9"/>
    <n v="942"/>
  </r>
  <r>
    <x v="1144"/>
    <x v="1130"/>
    <x v="4"/>
    <x v="185"/>
    <n v="5795"/>
    <n v="0.17"/>
    <n v="3.9"/>
    <n v="3815"/>
  </r>
  <r>
    <x v="1145"/>
    <x v="1131"/>
    <x v="4"/>
    <x v="144"/>
    <n v="3398"/>
    <n v="0.5"/>
    <n v="3.8"/>
    <n v="7988"/>
  </r>
  <r>
    <x v="1146"/>
    <x v="1132"/>
    <x v="4"/>
    <x v="147"/>
    <n v="1490"/>
    <n v="0.55000000000000004"/>
    <n v="4.0999999999999996"/>
    <n v="925"/>
  </r>
  <r>
    <x v="1147"/>
    <x v="1133"/>
    <x v="4"/>
    <x v="186"/>
    <n v="1620"/>
    <n v="0.41"/>
    <n v="4.0999999999999996"/>
    <n v="4370"/>
  </r>
  <r>
    <x v="1148"/>
    <x v="1134"/>
    <x v="4"/>
    <x v="143"/>
    <n v="1000"/>
    <n v="0.15"/>
    <n v="4.0999999999999996"/>
    <n v="7619"/>
  </r>
  <r>
    <x v="1149"/>
    <x v="1135"/>
    <x v="4"/>
    <x v="170"/>
    <n v="640"/>
    <n v="0.06"/>
    <n v="3.8"/>
    <n v="2593"/>
  </r>
  <r>
    <x v="1150"/>
    <x v="1136"/>
    <x v="4"/>
    <x v="136"/>
    <n v="4495"/>
    <n v="0.17"/>
    <n v="4.3"/>
    <n v="356"/>
  </r>
  <r>
    <x v="1151"/>
    <x v="1137"/>
    <x v="4"/>
    <x v="139"/>
    <n v="2999"/>
    <n v="0.73"/>
    <n v="4.5"/>
    <n v="63"/>
  </r>
  <r>
    <x v="1152"/>
    <x v="1138"/>
    <x v="4"/>
    <x v="169"/>
    <n v="980"/>
    <n v="0"/>
    <n v="4.2"/>
    <n v="4740"/>
  </r>
  <r>
    <x v="1153"/>
    <x v="1139"/>
    <x v="4"/>
    <x v="151"/>
    <n v="899"/>
    <n v="0.61"/>
    <n v="3.9"/>
    <n v="296"/>
  </r>
  <r>
    <x v="1154"/>
    <x v="1140"/>
    <x v="4"/>
    <x v="187"/>
    <n v="499"/>
    <n v="0.54"/>
    <n v="3.5"/>
    <n v="185"/>
  </r>
  <r>
    <x v="1155"/>
    <x v="1141"/>
    <x v="4"/>
    <x v="152"/>
    <n v="3995"/>
    <n v="0.16"/>
    <n v="4.3"/>
    <n v="1954"/>
  </r>
  <r>
    <x v="1156"/>
    <x v="1142"/>
    <x v="4"/>
    <x v="148"/>
    <n v="11500"/>
    <n v="0.52"/>
    <n v="3.9"/>
    <n v="959"/>
  </r>
  <r>
    <x v="1157"/>
    <x v="1143"/>
    <x v="4"/>
    <x v="138"/>
    <n v="499"/>
    <n v="0.4"/>
    <n v="3.9"/>
    <n v="1015"/>
  </r>
  <r>
    <x v="1158"/>
    <x v="1144"/>
    <x v="4"/>
    <x v="188"/>
    <n v="3550"/>
    <n v="0.37"/>
    <n v="4"/>
    <n v="3973"/>
  </r>
  <r>
    <x v="1159"/>
    <x v="1145"/>
    <x v="4"/>
    <x v="155"/>
    <n v="1599"/>
    <n v="0.56000000000000005"/>
    <n v="4.7"/>
    <n v="2300"/>
  </r>
  <r>
    <x v="1160"/>
    <x v="1146"/>
    <x v="4"/>
    <x v="136"/>
    <n v="1499"/>
    <n v="0.18"/>
    <n v="4.0999999999999996"/>
    <n v="203"/>
  </r>
  <r>
    <x v="1161"/>
    <x v="1147"/>
    <x v="4"/>
    <x v="157"/>
    <n v="2999"/>
    <n v="0.55000000000000004"/>
    <n v="3.8"/>
    <n v="441"/>
  </r>
  <r>
    <x v="1162"/>
    <x v="1148"/>
    <x v="4"/>
    <x v="148"/>
    <n v="11500"/>
    <n v="0.41"/>
    <n v="4.0999999999999996"/>
    <n v="10308"/>
  </r>
  <r>
    <x v="1163"/>
    <x v="1149"/>
    <x v="4"/>
    <x v="154"/>
    <n v="2499"/>
    <n v="0.16"/>
    <m/>
    <n v="992"/>
  </r>
  <r>
    <x v="1164"/>
    <x v="1150"/>
    <x v="4"/>
    <x v="156"/>
    <n v="1975"/>
    <n v="0.14000000000000001"/>
    <n v="4.0999999999999996"/>
    <n v="4716"/>
  </r>
  <r>
    <x v="1165"/>
    <x v="1151"/>
    <x v="4"/>
    <x v="137"/>
    <n v="1699"/>
    <n v="0.37"/>
    <n v="3.9"/>
    <n v="313"/>
  </r>
  <r>
    <x v="1166"/>
    <x v="1152"/>
    <x v="4"/>
    <x v="137"/>
    <n v="2495"/>
    <n v="0.46"/>
    <n v="3.8"/>
    <n v="166"/>
  </r>
  <r>
    <x v="1167"/>
    <x v="1153"/>
    <x v="4"/>
    <x v="149"/>
    <n v="3500"/>
    <n v="0.56999999999999995"/>
    <n v="4.0999999999999996"/>
    <n v="303"/>
  </r>
  <r>
    <x v="1168"/>
    <x v="1154"/>
    <x v="4"/>
    <x v="156"/>
    <n v="4600"/>
    <n v="0.55000000000000004"/>
    <n v="4.3"/>
    <n v="562"/>
  </r>
  <r>
    <x v="1169"/>
    <x v="1155"/>
    <x v="4"/>
    <x v="173"/>
    <n v="10295"/>
    <n v="0.63"/>
    <n v="3.9"/>
    <n v="8095"/>
  </r>
  <r>
    <x v="1170"/>
    <x v="1156"/>
    <x v="4"/>
    <x v="153"/>
    <n v="2199"/>
    <n v="0.77"/>
    <n v="2.8"/>
    <n v="109"/>
  </r>
  <r>
    <x v="1171"/>
    <x v="1157"/>
    <x v="4"/>
    <x v="160"/>
    <n v="2380"/>
    <n v="0.24"/>
    <n v="4"/>
    <n v="15382"/>
  </r>
  <r>
    <x v="1172"/>
    <x v="1158"/>
    <x v="4"/>
    <x v="153"/>
    <n v="8820"/>
    <n v="0.26"/>
    <n v="4.5"/>
    <n v="5137"/>
  </r>
  <r>
    <x v="1173"/>
    <x v="1159"/>
    <x v="4"/>
    <x v="175"/>
    <n v="24999"/>
    <n v="0.8"/>
    <n v="4.5999999999999996"/>
    <n v="124"/>
  </r>
  <r>
    <x v="1174"/>
    <x v="1160"/>
    <x v="4"/>
    <x v="168"/>
    <n v="2400"/>
    <n v="0.5"/>
    <n v="4.0999999999999996"/>
    <n v="618"/>
  </r>
  <r>
    <x v="1175"/>
    <x v="1161"/>
    <x v="4"/>
    <x v="137"/>
    <n v="4200"/>
    <n v="0.38"/>
    <n v="4.0999999999999996"/>
    <n v="63"/>
  </r>
  <r>
    <x v="1176"/>
    <x v="1162"/>
    <x v="4"/>
    <x v="137"/>
    <n v="1599"/>
    <n v="0.44"/>
    <n v="3.4"/>
    <n v="15"/>
  </r>
  <r>
    <x v="1177"/>
    <x v="1163"/>
    <x v="4"/>
    <x v="137"/>
    <n v="2999"/>
    <n v="0.67"/>
    <n v="4.5999999999999996"/>
    <n v="9"/>
  </r>
  <r>
    <x v="1178"/>
    <x v="1164"/>
    <x v="4"/>
    <x v="151"/>
    <n v="1282"/>
    <n v="0.22"/>
    <n v="4.2"/>
    <n v="7274"/>
  </r>
  <r>
    <x v="1179"/>
    <x v="1165"/>
    <x v="4"/>
    <x v="160"/>
    <n v="1990"/>
    <n v="0.45"/>
    <n v="3.9"/>
    <n v="5911"/>
  </r>
  <r>
    <x v="1180"/>
    <x v="1166"/>
    <x v="4"/>
    <x v="162"/>
    <n v="9999"/>
    <n v="0.4"/>
    <n v="4.2"/>
    <n v="170"/>
  </r>
  <r>
    <x v="1181"/>
    <x v="1167"/>
    <x v="4"/>
    <x v="173"/>
    <n v="11850"/>
    <n v="0.25"/>
    <n v="4.2"/>
    <n v="3065"/>
  </r>
  <r>
    <x v="1182"/>
    <x v="1168"/>
    <x v="4"/>
    <x v="138"/>
    <n v="999"/>
    <n v="0.52"/>
    <n v="4.0999999999999996"/>
    <n v="1021"/>
  </r>
  <r>
    <x v="1183"/>
    <x v="1169"/>
    <x v="4"/>
    <x v="150"/>
    <n v="20049"/>
    <n v="0.75"/>
    <n v="4.8"/>
    <n v="3964"/>
  </r>
  <r>
    <x v="1184"/>
    <x v="1170"/>
    <x v="4"/>
    <x v="175"/>
    <n v="24850"/>
    <n v="0.44"/>
    <n v="4.4000000000000004"/>
    <n v="8948"/>
  </r>
  <r>
    <x v="1185"/>
    <x v="1171"/>
    <x v="4"/>
    <x v="175"/>
    <n v="16490"/>
    <n v="0.48"/>
    <n v="4.3"/>
    <n v="97"/>
  </r>
  <r>
    <x v="1186"/>
    <x v="1172"/>
    <x v="4"/>
    <x v="143"/>
    <n v="975"/>
    <n v="0.03"/>
    <n v="4.3"/>
    <n v="7223"/>
  </r>
  <r>
    <x v="1187"/>
    <x v="1173"/>
    <x v="4"/>
    <x v="151"/>
    <n v="499"/>
    <n v="0.21"/>
    <n v="4"/>
    <n v="330"/>
  </r>
  <r>
    <x v="1188"/>
    <x v="1174"/>
    <x v="4"/>
    <x v="189"/>
    <n v="635"/>
    <n v="0"/>
    <n v="4.3"/>
    <n v="4570"/>
  </r>
  <r>
    <x v="1189"/>
    <x v="1175"/>
    <x v="4"/>
    <x v="143"/>
    <n v="1390"/>
    <n v="0.48"/>
    <n v="4"/>
    <n v="4867"/>
  </r>
  <r>
    <x v="1190"/>
    <x v="1176"/>
    <x v="4"/>
    <x v="190"/>
    <n v="59900"/>
    <n v="0.53"/>
    <n v="4.4000000000000004"/>
    <n v="5298"/>
  </r>
  <r>
    <x v="1191"/>
    <x v="1177"/>
    <x v="4"/>
    <x v="170"/>
    <n v="670"/>
    <n v="0.03"/>
    <n v="4.0999999999999996"/>
    <n v="7786"/>
  </r>
  <r>
    <x v="1192"/>
    <x v="1178"/>
    <x v="4"/>
    <x v="169"/>
    <n v="399"/>
    <n v="0.52"/>
    <n v="3.6"/>
    <n v="37"/>
  </r>
  <r>
    <x v="1193"/>
    <x v="1179"/>
    <x v="4"/>
    <x v="137"/>
    <n v="2495"/>
    <n v="0.48"/>
    <n v="2"/>
    <n v="2"/>
  </r>
  <r>
    <x v="1194"/>
    <x v="1180"/>
    <x v="4"/>
    <x v="144"/>
    <n v="3390"/>
    <n v="0.28000000000000003"/>
    <n v="4"/>
    <n v="5206"/>
  </r>
  <r>
    <x v="1195"/>
    <x v="1181"/>
    <x v="4"/>
    <x v="145"/>
    <n v="2499"/>
    <n v="0.57999999999999996"/>
    <n v="3.7"/>
    <n v="638"/>
  </r>
  <r>
    <x v="1196"/>
    <x v="1182"/>
    <x v="4"/>
    <x v="186"/>
    <n v="4200"/>
    <n v="0.43"/>
    <n v="3.8"/>
    <n v="397"/>
  </r>
  <r>
    <x v="1197"/>
    <x v="1183"/>
    <x v="4"/>
    <x v="154"/>
    <n v="4495"/>
    <n v="0.49"/>
    <n v="3.9"/>
    <n v="326"/>
  </r>
  <r>
    <x v="1198"/>
    <x v="1184"/>
    <x v="4"/>
    <x v="182"/>
    <n v="2199"/>
    <n v="0.77"/>
    <n v="3.1"/>
    <n v="3527"/>
  </r>
  <r>
    <x v="1199"/>
    <x v="1185"/>
    <x v="4"/>
    <x v="159"/>
    <n v="999"/>
    <n v="0.56999999999999995"/>
    <n v="3"/>
    <n v="617"/>
  </r>
  <r>
    <x v="1200"/>
    <x v="1186"/>
    <x v="4"/>
    <x v="156"/>
    <n v="595"/>
    <n v="0.5"/>
    <n v="4"/>
    <n v="314"/>
  </r>
  <r>
    <x v="1201"/>
    <x v="1187"/>
    <x v="4"/>
    <x v="175"/>
    <n v="19990"/>
    <n v="0.73"/>
    <n v="4.4000000000000004"/>
    <n v="535"/>
  </r>
  <r>
    <x v="1202"/>
    <x v="1188"/>
    <x v="4"/>
    <x v="143"/>
    <n v="1010"/>
    <n v="0.45"/>
    <n v="4.0999999999999996"/>
    <n v="17325"/>
  </r>
  <r>
    <x v="1203"/>
    <x v="1189"/>
    <x v="4"/>
    <x v="143"/>
    <n v="1100"/>
    <n v="0.4"/>
    <n v="3.6"/>
    <n v="91"/>
  </r>
  <r>
    <x v="1204"/>
    <x v="1190"/>
    <x v="4"/>
    <x v="155"/>
    <n v="999"/>
    <n v="0.57999999999999996"/>
    <n v="4.4000000000000004"/>
    <n v="227"/>
  </r>
  <r>
    <x v="1205"/>
    <x v="1191"/>
    <x v="4"/>
    <x v="148"/>
    <n v="10900"/>
    <n v="0.33"/>
    <n v="4.2"/>
    <n v="11957"/>
  </r>
  <r>
    <x v="1206"/>
    <x v="1192"/>
    <x v="4"/>
    <x v="160"/>
    <n v="4005"/>
    <n v="0.28000000000000003"/>
    <n v="4.3"/>
    <n v="7140"/>
  </r>
  <r>
    <x v="1207"/>
    <x v="1193"/>
    <x v="4"/>
    <x v="154"/>
    <n v="3295"/>
    <n v="0.45"/>
    <n v="3.8"/>
    <n v="687"/>
  </r>
  <r>
    <x v="1208"/>
    <x v="1194"/>
    <x v="4"/>
    <x v="156"/>
    <n v="4650"/>
    <n v="0.68"/>
    <n v="4.0999999999999996"/>
    <n v="1045"/>
  </r>
  <r>
    <x v="1209"/>
    <x v="1195"/>
    <x v="4"/>
    <x v="175"/>
    <n v="24500"/>
    <n v="0.35"/>
    <n v="4"/>
    <n v="11206"/>
  </r>
  <r>
    <x v="1210"/>
    <x v="1196"/>
    <x v="4"/>
    <x v="145"/>
    <n v="6070"/>
    <n v="0.4"/>
    <n v="4.2"/>
    <n v="561"/>
  </r>
  <r>
    <x v="1211"/>
    <x v="1197"/>
    <x v="4"/>
    <x v="142"/>
    <n v="999"/>
    <n v="0.62"/>
    <n v="3.6"/>
    <n v="1988"/>
  </r>
  <r>
    <x v="1212"/>
    <x v="1198"/>
    <x v="4"/>
    <x v="171"/>
    <n v="3945"/>
    <n v="0.25"/>
    <n v="4.2"/>
    <n v="3740"/>
  </r>
  <r>
    <x v="1213"/>
    <x v="1199"/>
    <x v="4"/>
    <x v="187"/>
    <n v="1499"/>
    <n v="0.27"/>
    <n v="4.0999999999999996"/>
    <n v="4401"/>
  </r>
  <r>
    <x v="1214"/>
    <x v="1200"/>
    <x v="4"/>
    <x v="152"/>
    <n v="6700"/>
    <n v="0.62"/>
    <n v="4.2"/>
    <n v="611"/>
  </r>
  <r>
    <x v="1215"/>
    <x v="1201"/>
    <x v="4"/>
    <x v="144"/>
    <n v="2800"/>
    <n v="0.41"/>
    <n v="3.9"/>
    <n v="2162"/>
  </r>
  <r>
    <x v="1216"/>
    <x v="1202"/>
    <x v="4"/>
    <x v="142"/>
    <n v="1699"/>
    <n v="0.53"/>
    <n v="4"/>
    <n v="97"/>
  </r>
  <r>
    <x v="1217"/>
    <x v="1203"/>
    <x v="4"/>
    <x v="142"/>
    <n v="970"/>
    <n v="0.21"/>
    <n v="4.2"/>
    <n v="6055"/>
  </r>
  <r>
    <x v="1218"/>
    <x v="1204"/>
    <x v="4"/>
    <x v="138"/>
    <n v="1500"/>
    <n v="0.33"/>
    <n v="4.2"/>
    <n v="386"/>
  </r>
  <r>
    <x v="1219"/>
    <x v="1205"/>
    <x v="4"/>
    <x v="191"/>
    <n v="1295"/>
    <n v="0.55000000000000004"/>
    <n v="4.0999999999999996"/>
    <n v="557"/>
  </r>
  <r>
    <x v="1220"/>
    <x v="1206"/>
    <x v="4"/>
    <x v="192"/>
    <n v="23999"/>
    <n v="0.47"/>
    <n v="4.4000000000000004"/>
    <n v="2288"/>
  </r>
  <r>
    <x v="1221"/>
    <x v="1207"/>
    <x v="4"/>
    <x v="143"/>
    <n v="850"/>
    <n v="0.18"/>
    <n v="4.0999999999999996"/>
    <n v="1106"/>
  </r>
  <r>
    <x v="1222"/>
    <x v="1208"/>
    <x v="4"/>
    <x v="161"/>
    <n v="6000"/>
    <n v="0.37"/>
    <n v="4.2"/>
    <n v="11935"/>
  </r>
  <r>
    <x v="1223"/>
    <x v="1209"/>
    <x v="4"/>
    <x v="149"/>
    <n v="1020"/>
    <n v="0.37"/>
    <n v="4.0999999999999996"/>
    <n v="5059"/>
  </r>
  <r>
    <x v="1224"/>
    <x v="1210"/>
    <x v="4"/>
    <x v="137"/>
    <n v="1999"/>
    <n v="0.51"/>
    <n v="3.9"/>
    <n v="157"/>
  </r>
  <r>
    <x v="1225"/>
    <x v="1211"/>
    <x v="4"/>
    <x v="145"/>
    <n v="7445"/>
    <n v="0.28000000000000003"/>
    <n v="3.9"/>
    <n v="3584"/>
  </r>
  <r>
    <x v="1226"/>
    <x v="1212"/>
    <x v="4"/>
    <x v="152"/>
    <n v="3500"/>
    <n v="0.09"/>
    <n v="4.2"/>
    <n v="1899"/>
  </r>
  <r>
    <x v="1227"/>
    <x v="1213"/>
    <x v="4"/>
    <x v="179"/>
    <n v="1395"/>
    <n v="0.3"/>
    <n v="4.2"/>
    <n v="15252"/>
  </r>
  <r>
    <x v="1228"/>
    <x v="1214"/>
    <x v="4"/>
    <x v="136"/>
    <n v="2199"/>
    <n v="0.57999999999999996"/>
    <n v="3.7"/>
    <n v="4"/>
  </r>
  <r>
    <x v="1229"/>
    <x v="1215"/>
    <x v="4"/>
    <x v="180"/>
    <n v="4330"/>
    <n v="0.14000000000000001"/>
    <n v="3.7"/>
    <n v="1662"/>
  </r>
  <r>
    <x v="1230"/>
    <x v="1216"/>
    <x v="4"/>
    <x v="144"/>
    <n v="4295"/>
    <n v="0.53"/>
    <n v="3.4"/>
    <n v="422"/>
  </r>
  <r>
    <x v="1231"/>
    <x v="1217"/>
    <x v="4"/>
    <x v="136"/>
    <n v="18990"/>
    <n v="0.5"/>
    <n v="4.2"/>
    <n v="79"/>
  </r>
  <r>
    <x v="1232"/>
    <x v="1218"/>
    <x v="4"/>
    <x v="148"/>
    <n v="12500"/>
    <n v="0.38"/>
    <n v="4"/>
    <n v="5160"/>
  </r>
  <r>
    <x v="1233"/>
    <x v="1219"/>
    <x v="4"/>
    <x v="135"/>
    <n v="2385"/>
    <n v="0.6"/>
    <n v="4.0999999999999996"/>
    <n v="2311"/>
  </r>
  <r>
    <x v="1234"/>
    <x v="1220"/>
    <x v="4"/>
    <x v="145"/>
    <n v="4890"/>
    <n v="0.43"/>
    <n v="3.9"/>
    <n v="588"/>
  </r>
  <r>
    <x v="1235"/>
    <x v="1221"/>
    <x v="4"/>
    <x v="143"/>
    <n v="1100"/>
    <n v="0.41"/>
    <n v="4"/>
    <n v="3271"/>
  </r>
  <r>
    <x v="1236"/>
    <x v="1222"/>
    <x v="4"/>
    <x v="144"/>
    <n v="3899"/>
    <n v="0.43"/>
    <n v="3.9"/>
    <n v="11004"/>
  </r>
  <r>
    <x v="1237"/>
    <x v="1223"/>
    <x v="4"/>
    <x v="148"/>
    <n v="16899"/>
    <n v="0.49"/>
    <n v="4.2"/>
    <n v="3195"/>
  </r>
  <r>
    <x v="1238"/>
    <x v="1224"/>
    <x v="4"/>
    <x v="193"/>
    <n v="75990"/>
    <n v="0.43"/>
    <n v="4.3"/>
    <n v="3231"/>
  </r>
  <r>
    <x v="1239"/>
    <x v="1225"/>
    <x v="4"/>
    <x v="169"/>
    <n v="825"/>
    <n v="0"/>
    <n v="4"/>
    <n v="3246"/>
  </r>
  <r>
    <x v="1240"/>
    <x v="1226"/>
    <x v="4"/>
    <x v="159"/>
    <n v="300"/>
    <n v="0.46"/>
    <n v="2.6"/>
    <n v="24"/>
  </r>
  <r>
    <x v="1241"/>
    <x v="1227"/>
    <x v="4"/>
    <x v="141"/>
    <n v="1499"/>
    <n v="0.54"/>
    <n v="3.8"/>
    <n v="144"/>
  </r>
  <r>
    <x v="1242"/>
    <x v="1228"/>
    <x v="4"/>
    <x v="194"/>
    <n v="747"/>
    <n v="0.08"/>
    <n v="4.5"/>
    <n v="2280"/>
  </r>
  <r>
    <x v="1243"/>
    <x v="1229"/>
    <x v="4"/>
    <x v="163"/>
    <n v="3999"/>
    <n v="0.45"/>
    <n v="3.5"/>
    <n v="340"/>
  </r>
  <r>
    <x v="1244"/>
    <x v="1230"/>
    <x v="4"/>
    <x v="137"/>
    <n v="11990"/>
    <n v="0.43"/>
    <n v="3.9"/>
    <n v="144"/>
  </r>
  <r>
    <x v="1245"/>
    <x v="1231"/>
    <x v="4"/>
    <x v="145"/>
    <n v="3799"/>
    <n v="0.28999999999999998"/>
    <n v="4"/>
    <n v="727"/>
  </r>
  <r>
    <x v="1246"/>
    <x v="1232"/>
    <x v="4"/>
    <x v="195"/>
    <n v="1999"/>
    <n v="0.55000000000000004"/>
    <n v="4"/>
    <n v="832"/>
  </r>
  <r>
    <x v="1247"/>
    <x v="1233"/>
    <x v="4"/>
    <x v="137"/>
    <n v="2999"/>
    <n v="0.64"/>
    <n v="3.5"/>
    <n v="57"/>
  </r>
  <r>
    <x v="1248"/>
    <x v="1234"/>
    <x v="4"/>
    <x v="139"/>
    <n v="599"/>
    <n v="0.51"/>
    <n v="4"/>
    <n v="1644"/>
  </r>
  <r>
    <x v="1249"/>
    <x v="1235"/>
    <x v="4"/>
    <x v="147"/>
    <n v="1999"/>
    <n v="0.76"/>
    <n v="3.4"/>
    <n v="1066"/>
  </r>
  <r>
    <x v="1250"/>
    <x v="1236"/>
    <x v="4"/>
    <x v="145"/>
    <n v="4849"/>
    <n v="0.39"/>
    <n v="4.2"/>
    <n v="7968"/>
  </r>
  <r>
    <x v="1251"/>
    <x v="1237"/>
    <x v="4"/>
    <x v="149"/>
    <n v="510"/>
    <n v="0.34"/>
    <n v="3.8"/>
    <n v="3195"/>
  </r>
  <r>
    <x v="1252"/>
    <x v="1238"/>
    <x v="4"/>
    <x v="168"/>
    <n v="499"/>
    <n v="0.41"/>
    <n v="4.0999999999999996"/>
    <n v="1456"/>
  </r>
  <r>
    <x v="1253"/>
    <x v="1239"/>
    <x v="4"/>
    <x v="196"/>
    <n v="1299"/>
    <n v="0.54"/>
    <n v="4.2"/>
    <n v="590"/>
  </r>
  <r>
    <x v="1254"/>
    <x v="1240"/>
    <x v="4"/>
    <x v="169"/>
    <n v="999"/>
    <n v="0.5"/>
    <n v="4.3"/>
    <n v="1436"/>
  </r>
  <r>
    <x v="1255"/>
    <x v="1241"/>
    <x v="4"/>
    <x v="143"/>
    <n v="1190"/>
    <n v="0.28999999999999998"/>
    <n v="4.2"/>
    <n v="4184"/>
  </r>
  <r>
    <x v="1256"/>
    <x v="1242"/>
    <x v="4"/>
    <x v="168"/>
    <n v="400"/>
    <n v="0.38"/>
    <n v="4.0999999999999996"/>
    <n v="693"/>
  </r>
  <r>
    <x v="1257"/>
    <x v="1243"/>
    <x v="4"/>
    <x v="169"/>
    <n v="599"/>
    <n v="0.69"/>
    <n v="3.9"/>
    <n v="1306"/>
  </r>
  <r>
    <x v="1258"/>
    <x v="1244"/>
    <x v="4"/>
    <x v="137"/>
    <n v="999"/>
    <n v="0.22"/>
    <n v="3.3"/>
    <n v="8"/>
  </r>
  <r>
    <x v="1259"/>
    <x v="1245"/>
    <x v="4"/>
    <x v="197"/>
    <n v="699"/>
    <n v="0.6"/>
    <n v="4.3"/>
    <n v="2326"/>
  </r>
  <r>
    <x v="1260"/>
    <x v="1246"/>
    <x v="4"/>
    <x v="169"/>
    <n v="1499"/>
    <n v="0.86"/>
    <n v="3.9"/>
    <n v="1004"/>
  </r>
  <r>
    <x v="1261"/>
    <x v="1247"/>
    <x v="4"/>
    <x v="143"/>
    <n v="1295"/>
    <n v="0.31"/>
    <n v="4.3"/>
    <n v="6400"/>
  </r>
  <r>
    <x v="1262"/>
    <x v="1248"/>
    <x v="4"/>
    <x v="145"/>
    <n v="4999"/>
    <n v="0.71"/>
    <n v="3.6"/>
    <n v="63"/>
  </r>
  <r>
    <x v="1263"/>
    <x v="1249"/>
    <x v="4"/>
    <x v="145"/>
    <n v="2550"/>
    <n v="0.53"/>
    <n v="3.8"/>
    <n v="1181"/>
  </r>
  <r>
    <x v="1264"/>
    <x v="1250"/>
    <x v="4"/>
    <x v="175"/>
    <n v="1950"/>
    <n v="0.08"/>
    <n v="3.9"/>
    <n v="1888"/>
  </r>
  <r>
    <x v="1265"/>
    <x v="1251"/>
    <x v="4"/>
    <x v="144"/>
    <n v="8478"/>
    <n v="0.28000000000000003"/>
    <n v="4.5999999999999996"/>
    <n v="6550"/>
  </r>
  <r>
    <x v="1266"/>
    <x v="1252"/>
    <x v="4"/>
    <x v="144"/>
    <n v="3299"/>
    <n v="0.45"/>
    <n v="3.8"/>
    <n v="1846"/>
  </r>
  <r>
    <x v="1267"/>
    <x v="1253"/>
    <x v="4"/>
    <x v="144"/>
    <n v="3895"/>
    <n v="0.44"/>
    <n v="3.9"/>
    <n v="1085"/>
  </r>
  <r>
    <x v="1268"/>
    <x v="1254"/>
    <x v="4"/>
    <x v="171"/>
    <n v="5495"/>
    <n v="0.33"/>
    <n v="4.0999999999999996"/>
    <n v="290"/>
  </r>
  <r>
    <x v="1269"/>
    <x v="1255"/>
    <x v="4"/>
    <x v="153"/>
    <n v="999"/>
    <n v="0.35"/>
    <n v="3.6"/>
    <n v="4"/>
  </r>
  <r>
    <x v="1270"/>
    <x v="1256"/>
    <x v="4"/>
    <x v="181"/>
    <n v="8995"/>
    <n v="0.04"/>
    <n v="4.4000000000000004"/>
    <n v="9734"/>
  </r>
  <r>
    <x v="1271"/>
    <x v="1257"/>
    <x v="4"/>
    <x v="143"/>
    <n v="1599"/>
    <n v="0.31"/>
    <n v="4.3"/>
    <n v="4022"/>
  </r>
  <r>
    <x v="1272"/>
    <x v="1258"/>
    <x v="4"/>
    <x v="145"/>
    <n v="3500"/>
    <n v="0.56999999999999995"/>
    <n v="4.7"/>
    <n v="2591"/>
  </r>
  <r>
    <x v="1273"/>
    <x v="1259"/>
    <x v="4"/>
    <x v="139"/>
    <n v="1999"/>
    <n v="0.62"/>
    <n v="4.3"/>
    <n v="532"/>
  </r>
  <r>
    <x v="1274"/>
    <x v="1260"/>
    <x v="4"/>
    <x v="154"/>
    <n v="3199"/>
    <n v="0.17"/>
    <n v="3.9"/>
    <n v="260"/>
  </r>
  <r>
    <x v="1275"/>
    <x v="1261"/>
    <x v="4"/>
    <x v="156"/>
    <n v="1300"/>
    <n v="0.28999999999999998"/>
    <n v="3.9"/>
    <n v="1672"/>
  </r>
  <r>
    <x v="1276"/>
    <x v="1262"/>
    <x v="4"/>
    <x v="151"/>
    <n v="399"/>
    <n v="0.5"/>
    <n v="3.7"/>
    <n v="7945"/>
  </r>
  <r>
    <x v="1277"/>
    <x v="1263"/>
    <x v="4"/>
    <x v="138"/>
    <n v="599"/>
    <n v="0.53"/>
    <n v="3.5"/>
    <n v="1367"/>
  </r>
  <r>
    <x v="1278"/>
    <x v="1264"/>
    <x v="4"/>
    <x v="142"/>
    <n v="999"/>
    <n v="0.45"/>
    <n v="4"/>
    <n v="1313"/>
  </r>
  <r>
    <x v="1279"/>
    <x v="1265"/>
    <x v="4"/>
    <x v="178"/>
    <n v="199"/>
    <n v="0.56999999999999995"/>
    <n v="4.0999999999999996"/>
    <n v="212"/>
  </r>
  <r>
    <x v="1280"/>
    <x v="1266"/>
    <x v="4"/>
    <x v="153"/>
    <n v="1299"/>
    <n v="0.62"/>
    <n v="3.9"/>
    <n v="65"/>
  </r>
  <r>
    <x v="1281"/>
    <x v="1267"/>
    <x v="4"/>
    <x v="153"/>
    <n v="7776"/>
    <n v="0.25"/>
    <n v="4.4000000000000004"/>
    <n v="2737"/>
  </r>
  <r>
    <x v="1282"/>
    <x v="1268"/>
    <x v="4"/>
    <x v="135"/>
    <n v="2299"/>
    <n v="0.45"/>
    <n v="4.3"/>
    <n v="55"/>
  </r>
  <r>
    <x v="1283"/>
    <x v="1269"/>
    <x v="4"/>
    <x v="198"/>
    <n v="1500"/>
    <n v="0.27"/>
    <n v="4.5"/>
    <n v="1065"/>
  </r>
  <r>
    <x v="1284"/>
    <x v="1270"/>
    <x v="4"/>
    <x v="156"/>
    <n v="2590"/>
    <n v="0.26"/>
    <n v="4"/>
    <n v="2377"/>
  </r>
  <r>
    <x v="1285"/>
    <x v="1271"/>
    <x v="4"/>
    <x v="148"/>
    <n v="6299"/>
    <n v="0.48"/>
    <n v="3.9"/>
    <n v="2569"/>
  </r>
  <r>
    <x v="1286"/>
    <x v="1272"/>
    <x v="4"/>
    <x v="156"/>
    <n v="1795"/>
    <n v="0.33"/>
    <n v="4.2"/>
    <n v="5967"/>
  </r>
  <r>
    <x v="1287"/>
    <x v="1273"/>
    <x v="4"/>
    <x v="135"/>
    <n v="3190"/>
    <n v="0.54"/>
    <n v="4.0999999999999996"/>
    <n v="1776"/>
  </r>
  <r>
    <x v="1288"/>
    <x v="1274"/>
    <x v="4"/>
    <x v="153"/>
    <n v="4799"/>
    <n v="0.3"/>
    <n v="3.7"/>
    <n v="4200"/>
  </r>
  <r>
    <x v="1289"/>
    <x v="1275"/>
    <x v="4"/>
    <x v="162"/>
    <n v="8999"/>
    <n v="0.46"/>
    <n v="4.0999999999999996"/>
    <n v="297"/>
  </r>
  <r>
    <x v="1290"/>
    <x v="1276"/>
    <x v="4"/>
    <x v="147"/>
    <n v="1899"/>
    <n v="0.37"/>
    <n v="4.2"/>
    <n v="3858"/>
  </r>
  <r>
    <x v="1291"/>
    <x v="1277"/>
    <x v="4"/>
    <x v="188"/>
    <n v="5799"/>
    <n v="0.43"/>
    <n v="4.3"/>
    <n v="168"/>
  </r>
  <r>
    <x v="1292"/>
    <x v="1278"/>
    <x v="4"/>
    <x v="138"/>
    <n v="799"/>
    <n v="0.78"/>
    <n v="3.6"/>
    <n v="101"/>
  </r>
  <r>
    <x v="1293"/>
    <x v="1279"/>
    <x v="4"/>
    <x v="197"/>
    <n v="300"/>
    <n v="0.5"/>
    <n v="4.0999999999999996"/>
    <n v="4074"/>
  </r>
  <r>
    <x v="1294"/>
    <x v="1280"/>
    <x v="4"/>
    <x v="144"/>
    <n v="7200"/>
    <n v="0.24"/>
    <n v="4.5"/>
    <n v="1408"/>
  </r>
  <r>
    <x v="1295"/>
    <x v="1281"/>
    <x v="4"/>
    <x v="139"/>
    <n v="389"/>
    <n v="0.03"/>
    <n v="4.2"/>
    <n v="3739"/>
  </r>
  <r>
    <x v="1296"/>
    <x v="1282"/>
    <x v="4"/>
    <x v="175"/>
    <n v="13049"/>
    <n v="0.33"/>
    <n v="4.3"/>
    <n v="5891"/>
  </r>
  <r>
    <x v="1297"/>
    <x v="1283"/>
    <x v="4"/>
    <x v="144"/>
    <n v="5999"/>
    <n v="0.49"/>
    <n v="4"/>
    <n v="777"/>
  </r>
  <r>
    <x v="1298"/>
    <x v="1284"/>
    <x v="4"/>
    <x v="142"/>
    <n v="2400"/>
    <n v="0.27"/>
    <n v="4.2"/>
    <n v="14160"/>
  </r>
  <r>
    <x v="1299"/>
    <x v="1285"/>
    <x v="4"/>
    <x v="141"/>
    <n v="5295"/>
    <n v="0.4"/>
    <n v="4.2"/>
    <n v="6919"/>
  </r>
  <r>
    <x v="1300"/>
    <x v="1286"/>
    <x v="4"/>
    <x v="175"/>
    <n v="24999"/>
    <n v="0.8"/>
    <n v="4.5"/>
    <n v="287"/>
  </r>
  <r>
    <x v="1301"/>
    <x v="1287"/>
    <x v="4"/>
    <x v="151"/>
    <n v="799"/>
    <n v="0.51"/>
    <n v="3.8"/>
    <n v="287"/>
  </r>
  <r>
    <x v="1302"/>
    <x v="1288"/>
    <x v="4"/>
    <x v="199"/>
    <n v="2999"/>
    <n v="0.33"/>
    <n v="4.4000000000000004"/>
    <n v="388"/>
  </r>
  <r>
    <x v="1303"/>
    <x v="1289"/>
    <x v="4"/>
    <x v="155"/>
    <n v="2495"/>
    <n v="0.35"/>
    <n v="4.0999999999999996"/>
    <n v="827"/>
  </r>
  <r>
    <x v="1304"/>
    <x v="1290"/>
    <x v="4"/>
    <x v="197"/>
    <n v="450"/>
    <n v="0.59"/>
    <n v="4.2"/>
    <n v="4971"/>
  </r>
  <r>
    <x v="1305"/>
    <x v="1291"/>
    <x v="4"/>
    <x v="138"/>
    <n v="999"/>
    <n v="0.55000000000000004"/>
    <n v="4.3"/>
    <n v="229"/>
  </r>
  <r>
    <x v="1306"/>
    <x v="1292"/>
    <x v="4"/>
    <x v="200"/>
    <n v="1690"/>
    <n v="0.59"/>
    <n v="4.0999999999999996"/>
    <n v="3524"/>
  </r>
  <r>
    <x v="1307"/>
    <x v="1293"/>
    <x v="4"/>
    <x v="141"/>
    <n v="3890"/>
    <n v="0.59"/>
    <n v="4.2"/>
    <n v="156"/>
  </r>
  <r>
    <x v="1308"/>
    <x v="1294"/>
    <x v="4"/>
    <x v="169"/>
    <n v="260"/>
    <n v="0.11"/>
    <n v="4.0999999999999996"/>
    <n v="490"/>
  </r>
  <r>
    <x v="1309"/>
    <x v="1295"/>
    <x v="4"/>
    <x v="138"/>
    <n v="599"/>
    <n v="0.38"/>
    <n v="3.9"/>
    <n v="82"/>
  </r>
  <r>
    <x v="1310"/>
    <x v="1296"/>
    <x v="4"/>
    <x v="135"/>
    <n v="1950"/>
    <n v="0.59"/>
    <n v="3.9"/>
    <n v="710"/>
  </r>
  <r>
    <x v="1311"/>
    <x v="1297"/>
    <x v="4"/>
    <x v="144"/>
    <n v="2990"/>
    <n v="0.6"/>
    <n v="3.8"/>
    <n v="133"/>
  </r>
  <r>
    <x v="1312"/>
    <x v="1298"/>
    <x v="4"/>
    <x v="144"/>
    <n v="8073"/>
    <n v="0.24"/>
    <n v="4.5999999999999996"/>
    <n v="2751"/>
  </r>
  <r>
    <x v="1313"/>
    <x v="1299"/>
    <x v="4"/>
    <x v="152"/>
    <n v="2599"/>
    <n v="0.31"/>
    <n v="3.6"/>
    <n v="771"/>
  </r>
  <r>
    <x v="1314"/>
    <x v="1300"/>
    <x v="4"/>
    <x v="190"/>
    <n v="29999"/>
    <n v="0.37"/>
    <n v="4.0999999999999996"/>
    <n v="2536"/>
  </r>
  <r>
    <x v="1315"/>
    <x v="1301"/>
    <x v="4"/>
    <x v="167"/>
    <n v="2360"/>
    <n v="0.15"/>
    <n v="4.2"/>
    <n v="7801"/>
  </r>
  <r>
    <x v="1316"/>
    <x v="1302"/>
    <x v="4"/>
    <x v="201"/>
    <n v="11495"/>
    <n v="0.48"/>
    <n v="4.3"/>
    <n v="534"/>
  </r>
  <r>
    <x v="1317"/>
    <x v="1303"/>
    <x v="4"/>
    <x v="160"/>
    <n v="4780"/>
    <n v="0.46"/>
    <n v="3.9"/>
    <n v="898"/>
  </r>
  <r>
    <x v="1318"/>
    <x v="1304"/>
    <x v="4"/>
    <x v="195"/>
    <n v="2400"/>
    <n v="0.5"/>
    <n v="3.9"/>
    <n v="1202"/>
  </r>
  <r>
    <x v="1319"/>
    <x v="1305"/>
    <x v="4"/>
    <x v="151"/>
    <n v="249"/>
    <n v="0.12"/>
    <n v="4"/>
    <n v="1108"/>
  </r>
  <r>
    <x v="1320"/>
    <x v="1306"/>
    <x v="4"/>
    <x v="137"/>
    <n v="1199"/>
    <n v="0.33"/>
    <n v="4.4000000000000004"/>
    <n v="17"/>
  </r>
  <r>
    <x v="1321"/>
    <x v="1307"/>
    <x v="4"/>
    <x v="173"/>
    <n v="10999"/>
    <n v="0.44"/>
    <n v="4.2"/>
    <n v="10429"/>
  </r>
  <r>
    <x v="1322"/>
    <x v="1308"/>
    <x v="4"/>
    <x v="150"/>
    <n v="10995"/>
    <n v="0.38"/>
    <n v="4.5"/>
    <n v="3192"/>
  </r>
  <r>
    <x v="1323"/>
    <x v="1309"/>
    <x v="4"/>
    <x v="202"/>
    <n v="3300"/>
    <n v="0.4"/>
    <n v="4.0999999999999996"/>
    <n v="5873"/>
  </r>
  <r>
    <x v="1324"/>
    <x v="1310"/>
    <x v="4"/>
    <x v="169"/>
    <n v="400"/>
    <n v="0.5"/>
    <n v="4.0999999999999996"/>
    <n v="1379"/>
  </r>
  <r>
    <x v="1325"/>
    <x v="1311"/>
    <x v="4"/>
    <x v="135"/>
    <n v="1440"/>
    <n v="0.18"/>
    <n v="4.2"/>
    <n v="1527"/>
  </r>
  <r>
    <x v="1326"/>
    <x v="1312"/>
    <x v="4"/>
    <x v="160"/>
    <n v="3045"/>
    <n v="0.28000000000000003"/>
    <n v="4.2"/>
    <n v="2686"/>
  </r>
  <r>
    <x v="1327"/>
    <x v="1313"/>
    <x v="4"/>
    <x v="168"/>
    <n v="3595"/>
    <n v="0.17"/>
    <n v="4"/>
    <n v="178"/>
  </r>
  <r>
    <x v="1328"/>
    <x v="1314"/>
    <x v="4"/>
    <x v="203"/>
    <n v="500"/>
    <n v="0.49"/>
    <n v="4.3"/>
    <n v="2664"/>
  </r>
  <r>
    <x v="1329"/>
    <x v="1315"/>
    <x v="4"/>
    <x v="188"/>
    <n v="799"/>
    <n v="0.38"/>
    <n v="3.6"/>
    <n v="212"/>
  </r>
  <r>
    <x v="1330"/>
    <x v="1316"/>
    <x v="4"/>
    <x v="136"/>
    <n v="1899"/>
    <n v="0.39"/>
    <n v="3.5"/>
    <n v="24"/>
  </r>
  <r>
    <x v="1331"/>
    <x v="1317"/>
    <x v="4"/>
    <x v="143"/>
    <n v="799"/>
    <n v="0.43"/>
    <n v="4.3"/>
    <n v="1868"/>
  </r>
  <r>
    <x v="1332"/>
    <x v="1318"/>
    <x v="4"/>
    <x v="187"/>
    <n v="399"/>
    <n v="0.43"/>
    <n v="3.6"/>
    <n v="451"/>
  </r>
  <r>
    <x v="1333"/>
    <x v="1319"/>
    <x v="4"/>
    <x v="169"/>
    <n v="699"/>
    <n v="0.72"/>
    <n v="2.9"/>
    <n v="159"/>
  </r>
  <r>
    <x v="1334"/>
    <x v="1320"/>
    <x v="4"/>
    <x v="195"/>
    <n v="1999"/>
    <n v="0.55000000000000004"/>
    <n v="4.2"/>
    <n v="39"/>
  </r>
  <r>
    <x v="1335"/>
    <x v="1321"/>
    <x v="4"/>
    <x v="179"/>
    <n v="2199"/>
    <n v="0.32"/>
    <n v="4.4000000000000004"/>
    <n v="6531"/>
  </r>
  <r>
    <x v="1336"/>
    <x v="1322"/>
    <x v="4"/>
    <x v="142"/>
    <n v="999"/>
    <n v="0.56999999999999995"/>
    <n v="4.0999999999999996"/>
    <n v="222"/>
  </r>
  <r>
    <x v="1337"/>
    <x v="1323"/>
    <x v="4"/>
    <x v="137"/>
    <n v="3290"/>
    <n v="0.28999999999999998"/>
    <n v="3.8"/>
    <n v="195"/>
  </r>
  <r>
    <x v="1338"/>
    <x v="1324"/>
    <x v="4"/>
    <x v="177"/>
    <n v="3098"/>
    <n v="0.5"/>
    <n v="3.5"/>
    <n v="2283"/>
  </r>
  <r>
    <x v="1339"/>
    <x v="1325"/>
    <x v="4"/>
    <x v="136"/>
    <n v="4990"/>
    <n v="0.3"/>
    <n v="4.0999999999999996"/>
    <n v="1127"/>
  </r>
  <r>
    <x v="1340"/>
    <x v="1326"/>
    <x v="4"/>
    <x v="157"/>
    <n v="1200"/>
    <n v="0.59"/>
    <n v="3.2"/>
    <n v="113"/>
  </r>
  <r>
    <x v="1341"/>
    <x v="1327"/>
    <x v="4"/>
    <x v="135"/>
    <n v="2695"/>
    <n v="0"/>
    <n v="4.4000000000000004"/>
    <n v="2518"/>
  </r>
  <r>
    <x v="1342"/>
    <x v="1328"/>
    <x v="4"/>
    <x v="136"/>
    <n v="2299"/>
    <n v="0.59"/>
    <n v="3.6"/>
    <n v="550"/>
  </r>
  <r>
    <x v="1343"/>
    <x v="1329"/>
    <x v="4"/>
    <x v="138"/>
    <n v="999"/>
    <n v="0.8"/>
    <n v="3.1"/>
    <n v="2"/>
  </r>
  <r>
    <x v="1344"/>
    <x v="1330"/>
    <x v="4"/>
    <x v="169"/>
    <n v="919"/>
    <n v="0.59"/>
    <n v="4"/>
    <n v="1090"/>
  </r>
  <r>
    <x v="1345"/>
    <x v="1331"/>
    <x v="4"/>
    <x v="171"/>
    <n v="3045"/>
    <n v="0.25"/>
    <n v="4.0999999999999996"/>
    <n v="4118"/>
  </r>
  <r>
    <x v="1346"/>
    <x v="1332"/>
    <x v="4"/>
    <x v="165"/>
    <n v="3080"/>
    <n v="0.28000000000000003"/>
    <n v="3.6"/>
    <n v="468"/>
  </r>
  <r>
    <x v="1347"/>
    <x v="1333"/>
    <x v="4"/>
    <x v="167"/>
    <n v="1890"/>
    <n v="0.26"/>
    <n v="4"/>
    <n v="8031"/>
  </r>
  <r>
    <x v="1348"/>
    <x v="1334"/>
    <x v="4"/>
    <x v="156"/>
    <n v="3690"/>
    <n v="0.22"/>
    <n v="4.3"/>
    <n v="69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F44FD5-059C-4F9C-975F-BE9F1101DA54}"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C87" firstHeaderRow="0" firstDataRow="1" firstDataCol="1"/>
  <pivotFields count="8">
    <pivotField showAll="0"/>
    <pivotField axis="axisRow" showAll="0" measureFilter="1" sortType="descending">
      <items count="1336">
        <item x="1028"/>
        <item x="1162"/>
        <item x="137"/>
        <item x="512"/>
        <item x="731"/>
        <item x="563"/>
        <item x="1326"/>
        <item x="263"/>
        <item x="179"/>
        <item x="250"/>
        <item x="48"/>
        <item x="159"/>
        <item x="155"/>
        <item x="128"/>
        <item x="211"/>
        <item x="251"/>
        <item x="315"/>
        <item x="294"/>
        <item x="236"/>
        <item x="1279"/>
        <item x="265"/>
        <item x="130"/>
        <item x="86"/>
        <item x="270"/>
        <item x="171"/>
        <item x="24"/>
        <item x="67"/>
        <item x="168"/>
        <item x="630"/>
        <item x="1165"/>
        <item x="1297"/>
        <item x="1030"/>
        <item x="1098"/>
        <item x="1038"/>
        <item x="1119"/>
        <item x="366"/>
        <item x="229"/>
        <item x="1205"/>
        <item x="936"/>
        <item x="1277"/>
        <item x="1206"/>
        <item x="928"/>
        <item x="1076"/>
        <item x="933"/>
        <item x="1254"/>
        <item x="1268"/>
        <item x="1302"/>
        <item x="974"/>
        <item x="317"/>
        <item x="667"/>
        <item x="814"/>
        <item x="705"/>
        <item x="644"/>
        <item x="734"/>
        <item x="274"/>
        <item x="326"/>
        <item x="145"/>
        <item x="60"/>
        <item x="325"/>
        <item x="1121"/>
        <item x="1324"/>
        <item x="1061"/>
        <item x="1144"/>
        <item x="832"/>
        <item x="302"/>
        <item x="941"/>
        <item x="239"/>
        <item x="532"/>
        <item x="959"/>
        <item x="1202"/>
        <item x="1160"/>
        <item x="218"/>
        <item x="47"/>
        <item x="65"/>
        <item x="656"/>
        <item x="654"/>
        <item x="101"/>
        <item x="185"/>
        <item x="191"/>
        <item x="259"/>
        <item x="213"/>
        <item x="69"/>
        <item x="685"/>
        <item x="894"/>
        <item x="277"/>
        <item x="310"/>
        <item x="260"/>
        <item x="289"/>
        <item x="322"/>
        <item x="126"/>
        <item x="129"/>
        <item x="230"/>
        <item x="125"/>
        <item x="1208"/>
        <item x="160"/>
        <item x="184"/>
        <item x="288"/>
        <item x="12"/>
        <item x="1309"/>
        <item x="267"/>
        <item x="1102"/>
        <item x="51"/>
        <item x="49"/>
        <item x="134"/>
        <item x="52"/>
        <item x="146"/>
        <item x="36"/>
        <item x="30"/>
        <item x="40"/>
        <item x="212"/>
        <item x="183"/>
        <item x="186"/>
        <item x="292"/>
        <item x="63"/>
        <item x="247"/>
        <item x="397"/>
        <item x="422"/>
        <item x="75"/>
        <item x="401"/>
        <item x="534"/>
        <item x="172"/>
        <item x="76"/>
        <item x="240"/>
        <item x="31"/>
        <item x="163"/>
        <item x="147"/>
        <item x="396"/>
        <item x="27"/>
        <item x="54"/>
        <item x="9"/>
        <item x="1"/>
        <item x="17"/>
        <item x="1167"/>
        <item x="205"/>
        <item x="524"/>
        <item x="447"/>
        <item x="748"/>
        <item x="756"/>
        <item x="1191"/>
        <item x="687"/>
        <item x="754"/>
        <item x="1286"/>
        <item x="1159"/>
        <item x="1195"/>
        <item x="1080"/>
        <item x="854"/>
        <item x="279"/>
        <item x="221"/>
        <item x="1019"/>
        <item x="1024"/>
        <item x="1178"/>
        <item x="1051"/>
        <item x="975"/>
        <item x="1079"/>
        <item x="972"/>
        <item x="1032"/>
        <item x="907"/>
        <item x="947"/>
        <item x="1049"/>
        <item x="1321"/>
        <item x="921"/>
        <item x="1211"/>
        <item x="916"/>
        <item x="1332"/>
        <item x="967"/>
        <item x="937"/>
        <item x="961"/>
        <item x="914"/>
        <item x="948"/>
        <item x="1142"/>
        <item x="993"/>
        <item x="1133"/>
        <item x="917"/>
        <item x="1055"/>
        <item x="1283"/>
        <item x="900"/>
        <item x="912"/>
        <item x="973"/>
        <item x="1094"/>
        <item x="896"/>
        <item x="156"/>
        <item x="120"/>
        <item x="198"/>
        <item x="262"/>
        <item x="852"/>
        <item x="164"/>
        <item x="235"/>
        <item x="308"/>
        <item x="886"/>
        <item x="1212"/>
        <item x="1112"/>
        <item x="148"/>
        <item x="189"/>
        <item x="204"/>
        <item x="245"/>
        <item x="83"/>
        <item x="29"/>
        <item x="546"/>
        <item x="542"/>
        <item x="639"/>
        <item x="616"/>
        <item x="758"/>
        <item x="386"/>
        <item x="348"/>
        <item x="541"/>
        <item x="804"/>
        <item x="565"/>
        <item x="564"/>
        <item x="673"/>
        <item x="416"/>
        <item x="577"/>
        <item x="888"/>
        <item x="92"/>
        <item x="3"/>
        <item x="632"/>
        <item x="464"/>
        <item x="111"/>
        <item x="228"/>
        <item x="182"/>
        <item x="219"/>
        <item x="6"/>
        <item x="489"/>
        <item x="438"/>
        <item x="548"/>
        <item x="574"/>
        <item x="602"/>
        <item x="500"/>
        <item x="551"/>
        <item x="597"/>
        <item x="258"/>
        <item x="11"/>
        <item x="714"/>
        <item x="875"/>
        <item x="712"/>
        <item x="18"/>
        <item x="113"/>
        <item x="74"/>
        <item x="139"/>
        <item x="404"/>
        <item x="379"/>
        <item x="434"/>
        <item x="332"/>
        <item x="465"/>
        <item x="433"/>
        <item x="342"/>
        <item x="381"/>
        <item x="403"/>
        <item x="955"/>
        <item x="1124"/>
        <item x="1334"/>
        <item x="1270"/>
        <item x="1311"/>
        <item x="1217"/>
        <item x="962"/>
        <item x="584"/>
        <item x="766"/>
        <item x="572"/>
        <item x="808"/>
        <item x="759"/>
        <item x="557"/>
        <item x="590"/>
        <item x="683"/>
        <item x="591"/>
        <item x="690"/>
        <item x="582"/>
        <item x="560"/>
        <item x="668"/>
        <item x="1109"/>
        <item x="1048"/>
        <item x="716"/>
        <item x="1263"/>
        <item x="963"/>
        <item x="946"/>
        <item x="953"/>
        <item x="1222"/>
        <item x="938"/>
        <item x="1003"/>
        <item x="1075"/>
        <item x="991"/>
        <item x="256"/>
        <item x="823"/>
        <item x="1269"/>
        <item x="200"/>
        <item x="652"/>
        <item x="783"/>
        <item x="797"/>
        <item x="863"/>
        <item x="880"/>
        <item x="1258"/>
        <item x="1271"/>
        <item x="1233"/>
        <item x="1151"/>
        <item x="882"/>
        <item x="850"/>
        <item x="812"/>
        <item x="242"/>
        <item x="222"/>
        <item x="1281"/>
        <item x="881"/>
        <item x="592"/>
        <item x="575"/>
        <item x="839"/>
        <item x="653"/>
        <item x="71"/>
        <item x="1164"/>
        <item x="1186"/>
        <item x="1276"/>
        <item x="643"/>
        <item x="877"/>
        <item x="853"/>
        <item x="699"/>
        <item x="789"/>
        <item x="788"/>
        <item x="562"/>
        <item x="837"/>
        <item x="751"/>
        <item x="719"/>
        <item x="613"/>
        <item x="767"/>
        <item x="624"/>
        <item x="1013"/>
        <item x="203"/>
        <item x="114"/>
        <item x="1052"/>
        <item x="770"/>
        <item x="1021"/>
        <item x="248"/>
        <item x="908"/>
        <item x="110"/>
        <item x="1148"/>
        <item x="954"/>
        <item x="1221"/>
        <item x="971"/>
        <item x="1303"/>
        <item x="1157"/>
        <item x="1009"/>
        <item x="1209"/>
        <item x="988"/>
        <item x="982"/>
        <item x="1161"/>
        <item x="1020"/>
        <item x="1134"/>
        <item x="1068"/>
        <item x="1218"/>
        <item x="107"/>
        <item x="718"/>
        <item x="883"/>
        <item x="686"/>
        <item x="214"/>
        <item x="1181"/>
        <item x="1128"/>
        <item x="268"/>
        <item x="717"/>
        <item x="271"/>
        <item x="100"/>
        <item x="558"/>
        <item x="559"/>
        <item x="566"/>
        <item x="583"/>
        <item x="1168"/>
        <item x="622"/>
        <item x="836"/>
        <item x="698"/>
        <item x="578"/>
        <item x="737"/>
        <item x="772"/>
        <item x="46"/>
        <item x="1117"/>
        <item x="371"/>
        <item x="675"/>
        <item x="805"/>
        <item x="796"/>
        <item x="194"/>
        <item x="640"/>
        <item x="615"/>
        <item x="740"/>
        <item x="39"/>
        <item x="149"/>
        <item x="561"/>
        <item x="628"/>
        <item x="885"/>
        <item x="28"/>
        <item x="20"/>
        <item x="701"/>
        <item x="539"/>
        <item x="1290"/>
        <item x="1310"/>
        <item x="631"/>
        <item x="856"/>
        <item x="693"/>
        <item x="1176"/>
        <item x="157"/>
        <item x="116"/>
        <item x="167"/>
        <item x="244"/>
        <item x="537"/>
        <item x="448"/>
        <item x="353"/>
        <item x="457"/>
        <item x="1265"/>
        <item x="493"/>
        <item x="1083"/>
        <item x="749"/>
        <item x="741"/>
        <item x="1088"/>
        <item x="608"/>
        <item x="1237"/>
        <item x="713"/>
        <item x="1105"/>
        <item x="809"/>
        <item x="327"/>
        <item x="1127"/>
        <item x="1225"/>
        <item x="1149"/>
        <item x="1314"/>
        <item x="1042"/>
        <item x="968"/>
        <item x="1029"/>
        <item x="585"/>
        <item x="663"/>
        <item x="313"/>
        <item x="815"/>
        <item x="1047"/>
        <item x="738"/>
        <item x="1093"/>
        <item x="388"/>
        <item x="662"/>
        <item x="360"/>
        <item x="521"/>
        <item x="482"/>
        <item x="356"/>
        <item x="330"/>
        <item x="733"/>
        <item x="331"/>
        <item x="446"/>
        <item x="764"/>
        <item x="536"/>
        <item x="367"/>
        <item x="79"/>
        <item x="178"/>
        <item x="44"/>
        <item x="176"/>
        <item x="253"/>
        <item x="483"/>
        <item x="196"/>
        <item x="455"/>
        <item x="81"/>
        <item x="23"/>
        <item x="525"/>
        <item x="865"/>
        <item x="625"/>
        <item x="1260"/>
        <item x="1137"/>
        <item x="154"/>
        <item x="97"/>
        <item x="977"/>
        <item x="872"/>
        <item x="862"/>
        <item x="696"/>
        <item x="589"/>
        <item x="840"/>
        <item x="735"/>
        <item x="692"/>
        <item x="711"/>
        <item x="636"/>
        <item x="406"/>
        <item x="580"/>
        <item x="90"/>
        <item x="707"/>
        <item x="1289"/>
        <item x="897"/>
        <item x="410"/>
        <item x="1200"/>
        <item x="1226"/>
        <item x="1045"/>
        <item x="1312"/>
        <item x="911"/>
        <item x="1107"/>
        <item x="932"/>
        <item x="1247"/>
        <item x="1192"/>
        <item x="1182"/>
        <item x="1072"/>
        <item x="1241"/>
        <item x="927"/>
        <item x="1036"/>
        <item x="1099"/>
        <item x="1196"/>
        <item x="909"/>
        <item x="1078"/>
        <item x="1333"/>
        <item x="1301"/>
        <item x="1153"/>
        <item x="859"/>
        <item x="978"/>
        <item x="1204"/>
        <item x="960"/>
        <item x="1056"/>
        <item x="1316"/>
        <item x="238"/>
        <item x="1018"/>
        <item x="1129"/>
        <item x="123"/>
        <item x="290"/>
        <item x="1034"/>
        <item x="1054"/>
        <item x="1143"/>
        <item x="614"/>
        <item x="412"/>
        <item x="828"/>
        <item x="860"/>
        <item x="620"/>
        <item x="579"/>
        <item x="771"/>
        <item x="843"/>
        <item x="878"/>
        <item x="801"/>
        <item x="871"/>
        <item x="864"/>
        <item x="681"/>
        <item x="884"/>
        <item x="554"/>
        <item x="568"/>
        <item x="747"/>
        <item x="799"/>
        <item x="555"/>
        <item x="594"/>
        <item x="708"/>
        <item x="1170"/>
        <item x="1138"/>
        <item x="998"/>
        <item x="999"/>
        <item x="682"/>
        <item x="1132"/>
        <item x="1293"/>
        <item x="1273"/>
        <item x="1058"/>
        <item x="1296"/>
        <item x="1154"/>
        <item x="1194"/>
        <item x="127"/>
        <item x="997"/>
        <item x="987"/>
        <item x="1140"/>
        <item x="1318"/>
        <item x="855"/>
        <item x="1308"/>
        <item x="1123"/>
        <item x="1152"/>
        <item x="922"/>
        <item x="1085"/>
        <item x="1120"/>
        <item x="1213"/>
        <item x="1183"/>
        <item x="1193"/>
        <item x="1155"/>
        <item x="1101"/>
        <item x="891"/>
        <item x="666"/>
        <item x="780"/>
        <item x="1245"/>
        <item x="722"/>
        <item x="1199"/>
        <item x="1005"/>
        <item x="1016"/>
        <item x="1010"/>
        <item x="1169"/>
        <item x="873"/>
        <item x="1243"/>
        <item x="1234"/>
        <item x="1319"/>
        <item x="502"/>
        <item x="507"/>
        <item x="380"/>
        <item x="362"/>
        <item x="431"/>
        <item x="440"/>
        <item x="387"/>
        <item x="413"/>
        <item x="421"/>
        <item x="458"/>
        <item x="414"/>
        <item x="369"/>
        <item x="469"/>
        <item x="428"/>
        <item x="466"/>
        <item x="309"/>
        <item x="102"/>
        <item x="760"/>
        <item x="343"/>
        <item x="450"/>
        <item x="629"/>
        <item x="552"/>
        <item x="661"/>
        <item x="646"/>
        <item x="635"/>
        <item x="1232"/>
        <item x="1070"/>
        <item x="655"/>
        <item x="188"/>
        <item x="215"/>
        <item x="1307"/>
        <item x="1230"/>
        <item x="1250"/>
        <item x="1150"/>
        <item x="1039"/>
        <item x="1007"/>
        <item x="1284"/>
        <item x="913"/>
        <item x="956"/>
        <item x="1082"/>
        <item x="1041"/>
        <item x="1147"/>
        <item x="1053"/>
        <item x="1177"/>
        <item x="1294"/>
        <item x="1004"/>
        <item x="1229"/>
        <item x="1179"/>
        <item x="117"/>
        <item x="436"/>
        <item x="540"/>
        <item x="739"/>
        <item x="1235"/>
        <item x="996"/>
        <item x="1320"/>
        <item x="1035"/>
        <item x="1092"/>
        <item x="769"/>
        <item x="1322"/>
        <item x="1244"/>
        <item x="303"/>
        <item x="293"/>
        <item x="144"/>
        <item x="323"/>
        <item x="287"/>
        <item x="1240"/>
        <item x="269"/>
        <item x="1262"/>
        <item x="1173"/>
        <item x="1069"/>
        <item x="1305"/>
        <item x="985"/>
        <item x="484"/>
        <item x="1295"/>
        <item x="62"/>
        <item x="519"/>
        <item x="118"/>
        <item x="88"/>
        <item x="743"/>
        <item x="762"/>
        <item x="695"/>
        <item x="553"/>
        <item x="266"/>
        <item x="93"/>
        <item x="793"/>
        <item x="1315"/>
        <item x="522"/>
        <item x="297"/>
        <item x="868"/>
        <item x="775"/>
        <item x="700"/>
        <item x="728"/>
        <item x="765"/>
        <item x="798"/>
        <item x="887"/>
        <item x="281"/>
        <item x="1224"/>
        <item x="135"/>
        <item x="282"/>
        <item x="19"/>
        <item x="112"/>
        <item x="1328"/>
        <item x="1288"/>
        <item x="1100"/>
        <item x="918"/>
        <item x="944"/>
        <item x="915"/>
        <item x="1252"/>
        <item x="986"/>
        <item x="919"/>
        <item x="940"/>
        <item x="1261"/>
        <item x="1017"/>
        <item x="1304"/>
        <item x="1131"/>
        <item x="1291"/>
        <item x="989"/>
        <item x="1022"/>
        <item x="503"/>
        <item x="1171"/>
        <item x="641"/>
        <item x="544"/>
        <item x="703"/>
        <item x="791"/>
        <item x="847"/>
        <item x="621"/>
        <item x="849"/>
        <item x="729"/>
        <item x="612"/>
        <item x="649"/>
        <item x="782"/>
        <item x="672"/>
        <item x="651"/>
        <item x="736"/>
        <item x="753"/>
        <item x="233"/>
        <item x="96"/>
        <item x="193"/>
        <item x="165"/>
        <item x="275"/>
        <item x="1266"/>
        <item x="1214"/>
        <item x="138"/>
        <item x="142"/>
        <item x="768"/>
        <item x="301"/>
        <item x="994"/>
        <item x="314"/>
        <item x="674"/>
        <item x="688"/>
        <item x="1246"/>
        <item x="970"/>
        <item x="1146"/>
        <item x="1274"/>
        <item x="709"/>
        <item x="1163"/>
        <item x="605"/>
        <item x="103"/>
        <item x="278"/>
        <item x="419"/>
        <item x="352"/>
        <item x="351"/>
        <item x="197"/>
        <item x="231"/>
        <item x="41"/>
        <item x="453"/>
        <item x="328"/>
        <item x="133"/>
        <item x="429"/>
        <item x="806"/>
        <item x="16"/>
        <item x="318"/>
        <item x="307"/>
        <item x="1043"/>
        <item x="15"/>
        <item x="333"/>
        <item x="520"/>
        <item x="1300"/>
        <item x="7"/>
        <item x="405"/>
        <item x="153"/>
        <item x="1197"/>
        <item x="980"/>
        <item x="1057"/>
        <item x="533"/>
        <item x="68"/>
        <item x="1292"/>
        <item x="1136"/>
        <item x="1188"/>
        <item x="1065"/>
        <item x="1130"/>
        <item x="910"/>
        <item x="481"/>
        <item x="432"/>
        <item x="1156"/>
        <item x="1145"/>
        <item x="472"/>
        <item x="208"/>
        <item x="478"/>
        <item x="1231"/>
        <item x="1329"/>
        <item x="1185"/>
        <item x="300"/>
        <item x="1330"/>
        <item x="480"/>
        <item x="627"/>
        <item x="694"/>
        <item x="645"/>
        <item x="476"/>
        <item x="658"/>
        <item x="368"/>
        <item x="456"/>
        <item x="378"/>
        <item x="531"/>
        <item x="355"/>
        <item x="426"/>
        <item x="516"/>
        <item x="761"/>
        <item x="499"/>
        <item x="802"/>
        <item x="471"/>
        <item x="642"/>
        <item x="460"/>
        <item x="340"/>
        <item x="510"/>
        <item x="427"/>
        <item x="420"/>
        <item x="398"/>
        <item x="341"/>
        <item x="498"/>
        <item x="504"/>
        <item x="930"/>
        <item x="595"/>
        <item x="876"/>
        <item x="732"/>
        <item x="85"/>
        <item x="91"/>
        <item x="395"/>
        <item x="497"/>
        <item x="38"/>
        <item x="216"/>
        <item x="321"/>
        <item x="26"/>
        <item x="57"/>
        <item x="336"/>
        <item x="391"/>
        <item x="335"/>
        <item x="479"/>
        <item x="492"/>
        <item x="430"/>
        <item x="374"/>
        <item x="424"/>
        <item x="518"/>
        <item x="70"/>
        <item x="1071"/>
        <item x="846"/>
        <item x="965"/>
        <item x="1220"/>
        <item x="943"/>
        <item x="1203"/>
        <item x="976"/>
        <item x="905"/>
        <item x="1238"/>
        <item x="604"/>
        <item x="848"/>
        <item x="1198"/>
        <item x="678"/>
        <item x="879"/>
        <item x="776"/>
        <item x="670"/>
        <item x="841"/>
        <item x="810"/>
        <item x="867"/>
        <item x="752"/>
        <item x="1113"/>
        <item x="1087"/>
        <item x="1106"/>
        <item x="1104"/>
        <item x="981"/>
        <item x="979"/>
        <item x="1313"/>
        <item x="1122"/>
        <item x="1141"/>
        <item x="1108"/>
        <item x="931"/>
        <item x="945"/>
        <item x="926"/>
        <item x="1077"/>
        <item x="1066"/>
        <item x="949"/>
        <item x="1256"/>
        <item x="1327"/>
        <item x="1172"/>
        <item x="1031"/>
        <item x="984"/>
        <item x="1011"/>
        <item x="934"/>
        <item x="1091"/>
        <item x="1073"/>
        <item x="587"/>
        <item x="929"/>
        <item x="992"/>
        <item x="935"/>
        <item x="892"/>
        <item x="1025"/>
        <item x="902"/>
        <item x="969"/>
        <item x="924"/>
        <item x="990"/>
        <item x="898"/>
        <item x="1216"/>
        <item x="869"/>
        <item x="757"/>
        <item x="73"/>
        <item x="162"/>
        <item x="530"/>
        <item x="509"/>
        <item x="523"/>
        <item x="511"/>
        <item x="207"/>
        <item x="1023"/>
        <item x="1306"/>
        <item x="384"/>
        <item x="437"/>
        <item x="462"/>
        <item x="784"/>
        <item x="13"/>
        <item x="4"/>
        <item x="14"/>
        <item x="59"/>
        <item x="66"/>
        <item x="223"/>
        <item x="10"/>
        <item x="115"/>
        <item x="119"/>
        <item x="417"/>
        <item x="704"/>
        <item x="665"/>
        <item x="720"/>
        <item x="744"/>
        <item x="835"/>
        <item x="715"/>
        <item x="556"/>
        <item x="217"/>
        <item x="1001"/>
        <item x="1174"/>
        <item x="899"/>
        <item x="1135"/>
        <item x="1331"/>
        <item x="901"/>
        <item x="1000"/>
        <item x="957"/>
        <item x="1285"/>
        <item x="1037"/>
        <item x="923"/>
        <item x="903"/>
        <item x="1014"/>
        <item x="1272"/>
        <item x="1215"/>
        <item x="942"/>
        <item x="966"/>
        <item x="1046"/>
        <item x="925"/>
        <item x="1116"/>
        <item x="1287"/>
        <item x="906"/>
        <item x="750"/>
        <item x="295"/>
        <item x="527"/>
        <item x="1187"/>
        <item x="316"/>
        <item x="393"/>
        <item x="347"/>
        <item x="473"/>
        <item x="439"/>
        <item x="461"/>
        <item x="136"/>
        <item x="246"/>
        <item x="35"/>
        <item x="284"/>
        <item x="109"/>
        <item x="34"/>
        <item x="5"/>
        <item x="399"/>
        <item x="345"/>
        <item x="463"/>
        <item x="610"/>
        <item x="680"/>
        <item x="795"/>
        <item x="920"/>
        <item x="1223"/>
        <item x="1236"/>
        <item x="1242"/>
        <item x="829"/>
        <item x="169"/>
        <item x="377"/>
        <item x="819"/>
        <item x="372"/>
        <item x="418"/>
        <item x="264"/>
        <item x="660"/>
        <item x="830"/>
        <item x="851"/>
        <item x="727"/>
        <item x="648"/>
        <item x="72"/>
        <item x="346"/>
        <item x="365"/>
        <item x="370"/>
        <item x="459"/>
        <item x="486"/>
        <item x="124"/>
        <item x="64"/>
        <item x="363"/>
        <item x="445"/>
        <item x="364"/>
        <item x="526"/>
        <item x="337"/>
        <item x="334"/>
        <item x="338"/>
        <item x="470"/>
        <item x="407"/>
        <item x="475"/>
        <item x="408"/>
        <item x="375"/>
        <item x="415"/>
        <item x="477"/>
        <item x="468"/>
        <item x="496"/>
        <item x="800"/>
        <item x="1027"/>
        <item x="225"/>
        <item x="121"/>
        <item x="730"/>
        <item x="1126"/>
        <item x="1074"/>
        <item x="866"/>
        <item x="822"/>
        <item x="834"/>
        <item x="781"/>
        <item x="647"/>
        <item x="950"/>
        <item x="1184"/>
        <item x="1081"/>
        <item x="773"/>
        <item x="818"/>
        <item x="619"/>
        <item x="227"/>
        <item x="1012"/>
        <item x="1210"/>
        <item x="132"/>
        <item x="1239"/>
        <item x="1227"/>
        <item x="817"/>
        <item x="61"/>
        <item x="87"/>
        <item x="192"/>
        <item x="276"/>
        <item x="813"/>
        <item x="354"/>
        <item x="22"/>
        <item x="152"/>
        <item x="441"/>
        <item x="383"/>
        <item x="400"/>
        <item x="390"/>
        <item x="443"/>
        <item x="344"/>
        <item x="350"/>
        <item x="394"/>
        <item x="359"/>
        <item x="402"/>
        <item x="423"/>
        <item x="385"/>
        <item x="538"/>
        <item x="467"/>
        <item x="361"/>
        <item x="357"/>
        <item x="506"/>
        <item x="528"/>
        <item x="626"/>
        <item x="376"/>
        <item x="487"/>
        <item x="33"/>
        <item x="824"/>
        <item x="543"/>
        <item x="664"/>
        <item x="763"/>
        <item x="581"/>
        <item x="677"/>
        <item x="637"/>
        <item x="606"/>
        <item x="618"/>
        <item x="573"/>
        <item x="358"/>
        <item x="501"/>
        <item x="697"/>
        <item x="349"/>
        <item x="474"/>
        <item x="339"/>
        <item x="232"/>
        <item x="305"/>
        <item x="838"/>
        <item x="567"/>
        <item x="723"/>
        <item x="858"/>
        <item x="1275"/>
        <item x="1166"/>
        <item x="312"/>
        <item x="904"/>
        <item x="508"/>
        <item x="811"/>
        <item x="958"/>
        <item x="1219"/>
        <item x="175"/>
        <item x="547"/>
        <item x="1040"/>
        <item x="82"/>
        <item x="845"/>
        <item x="243"/>
        <item x="939"/>
        <item x="1201"/>
        <item x="226"/>
        <item x="249"/>
        <item x="180"/>
        <item x="777"/>
        <item x="491"/>
        <item x="37"/>
        <item x="2"/>
        <item x="515"/>
        <item x="505"/>
        <item x="392"/>
        <item x="442"/>
        <item x="435"/>
        <item x="425"/>
        <item x="517"/>
        <item x="545"/>
        <item x="252"/>
        <item x="286"/>
        <item x="319"/>
        <item x="201"/>
        <item x="181"/>
        <item x="329"/>
        <item x="485"/>
        <item x="454"/>
        <item x="549"/>
        <item x="671"/>
        <item x="611"/>
        <item x="588"/>
        <item x="488"/>
        <item x="389"/>
        <item x="684"/>
        <item x="535"/>
        <item x="895"/>
        <item x="1103"/>
        <item x="1228"/>
        <item x="1251"/>
        <item x="1298"/>
        <item x="1114"/>
        <item x="1158"/>
        <item x="1267"/>
        <item x="1280"/>
        <item x="785"/>
        <item x="1115"/>
        <item x="254"/>
        <item x="78"/>
        <item x="444"/>
        <item x="890"/>
        <item x="1015"/>
        <item x="1095"/>
        <item x="174"/>
        <item x="324"/>
        <item x="311"/>
        <item x="306"/>
        <item x="1317"/>
        <item x="571"/>
        <item x="1264"/>
        <item x="833"/>
        <item x="710"/>
        <item x="679"/>
        <item x="283"/>
        <item x="224"/>
        <item x="55"/>
        <item x="209"/>
        <item x="1044"/>
        <item x="94"/>
        <item x="320"/>
        <item x="77"/>
        <item x="206"/>
        <item x="299"/>
        <item x="494"/>
        <item x="449"/>
        <item x="1118"/>
        <item x="1248"/>
        <item x="1002"/>
        <item x="1259"/>
        <item x="199"/>
        <item x="21"/>
        <item x="298"/>
        <item x="25"/>
        <item x="607"/>
        <item x="513"/>
        <item x="1139"/>
        <item x="1059"/>
        <item x="280"/>
        <item x="842"/>
        <item x="141"/>
        <item x="170"/>
        <item x="50"/>
        <item x="669"/>
        <item x="576"/>
        <item x="596"/>
        <item x="650"/>
        <item x="43"/>
        <item x="143"/>
        <item x="638"/>
        <item x="623"/>
        <item x="874"/>
        <item x="98"/>
        <item x="826"/>
        <item x="617"/>
        <item x="8"/>
        <item x="56"/>
        <item x="1253"/>
        <item x="291"/>
        <item x="451"/>
        <item x="452"/>
        <item x="861"/>
        <item x="779"/>
        <item x="790"/>
        <item x="725"/>
        <item x="820"/>
        <item x="593"/>
        <item x="382"/>
        <item x="202"/>
        <item x="794"/>
        <item x="495"/>
        <item x="514"/>
        <item x="409"/>
        <item x="1325"/>
        <item x="952"/>
        <item x="1175"/>
        <item x="1026"/>
        <item x="1006"/>
        <item x="1257"/>
        <item x="1089"/>
        <item x="1323"/>
        <item x="983"/>
        <item x="1097"/>
        <item x="1111"/>
        <item x="893"/>
        <item x="1180"/>
        <item x="1062"/>
        <item x="1255"/>
        <item x="1067"/>
        <item x="1050"/>
        <item x="745"/>
        <item x="1060"/>
        <item x="1282"/>
        <item x="1033"/>
        <item x="964"/>
        <item x="1086"/>
        <item x="285"/>
        <item x="150"/>
        <item x="108"/>
        <item x="255"/>
        <item x="190"/>
        <item x="53"/>
        <item x="273"/>
        <item x="122"/>
        <item x="774"/>
        <item x="296"/>
        <item x="237"/>
        <item x="89"/>
        <item x="106"/>
        <item x="42"/>
        <item x="166"/>
        <item x="104"/>
        <item x="220"/>
        <item x="0"/>
        <item x="261"/>
        <item x="161"/>
        <item x="272"/>
        <item x="99"/>
        <item x="831"/>
        <item x="105"/>
        <item x="187"/>
        <item x="80"/>
        <item x="131"/>
        <item x="173"/>
        <item x="84"/>
        <item x="257"/>
        <item x="241"/>
        <item x="490"/>
        <item x="373"/>
        <item x="411"/>
        <item x="827"/>
        <item x="45"/>
        <item x="529"/>
        <item x="58"/>
        <item x="691"/>
        <item x="726"/>
        <item x="702"/>
        <item x="787"/>
        <item x="1008"/>
        <item x="1064"/>
        <item x="821"/>
        <item x="1207"/>
        <item x="995"/>
        <item x="1189"/>
        <item x="1084"/>
        <item x="1299"/>
        <item x="1090"/>
        <item x="1125"/>
        <item x="1278"/>
        <item x="1063"/>
        <item x="951"/>
        <item x="1110"/>
        <item x="210"/>
        <item x="844"/>
        <item x="598"/>
        <item x="857"/>
        <item x="870"/>
        <item x="889"/>
        <item x="234"/>
        <item x="195"/>
        <item x="158"/>
        <item x="634"/>
        <item x="659"/>
        <item x="746"/>
        <item x="807"/>
        <item x="657"/>
        <item x="603"/>
        <item x="550"/>
        <item x="742"/>
        <item x="601"/>
        <item x="570"/>
        <item x="633"/>
        <item x="569"/>
        <item x="721"/>
        <item x="724"/>
        <item x="689"/>
        <item x="803"/>
        <item x="600"/>
        <item x="755"/>
        <item x="786"/>
        <item x="609"/>
        <item x="676"/>
        <item x="586"/>
        <item x="95"/>
        <item x="792"/>
        <item x="825"/>
        <item x="778"/>
        <item x="1249"/>
        <item x="706"/>
        <item x="816"/>
        <item x="599"/>
        <item x="304"/>
        <item x="140"/>
        <item x="32"/>
        <item x="177"/>
        <item x="151"/>
        <item x="1190"/>
        <item x="10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pivotFields>
  <rowFields count="1">
    <field x="1"/>
  </rowFields>
  <rowItems count="12">
    <i>
      <x v="82"/>
    </i>
    <i>
      <x v="1141"/>
    </i>
    <i>
      <x v="1139"/>
    </i>
    <i>
      <x v="566"/>
    </i>
    <i>
      <x v="825"/>
    </i>
    <i>
      <x v="288"/>
    </i>
    <i>
      <x v="1334"/>
    </i>
    <i>
      <x v="766"/>
    </i>
    <i>
      <x v="1094"/>
    </i>
    <i>
      <x v="424"/>
    </i>
    <i>
      <x v="1104"/>
    </i>
    <i t="grand">
      <x/>
    </i>
  </rowItems>
  <colFields count="1">
    <field x="-2"/>
  </colFields>
  <colItems count="2">
    <i>
      <x/>
    </i>
    <i i="1">
      <x v="1"/>
    </i>
  </colItems>
  <dataFields count="2">
    <dataField name="Average of rating" fld="6" subtotal="average" baseField="1" baseItem="0"/>
    <dataField name="Average of rating_count" fld="7" subtotal="average" baseField="1" baseItem="0"/>
  </dataField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DA44FC-6809-480F-AC80-5E3D3400CCD7}"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C72" firstHeaderRow="0" firstDataRow="1" firstDataCol="1"/>
  <pivotFields count="8">
    <pivotField showAll="0"/>
    <pivotField showAll="0"/>
    <pivotField showAll="0"/>
    <pivotField axis="axisRow" showAll="0" measureFilter="1" sortType="descending">
      <items count="205">
        <item x="18"/>
        <item x="11"/>
        <item x="100"/>
        <item x="150"/>
        <item x="172"/>
        <item x="25"/>
        <item x="16"/>
        <item x="125"/>
        <item x="82"/>
        <item x="37"/>
        <item x="23"/>
        <item x="107"/>
        <item x="36"/>
        <item x="73"/>
        <item x="70"/>
        <item x="88"/>
        <item x="32"/>
        <item x="133"/>
        <item x="40"/>
        <item x="161"/>
        <item x="94"/>
        <item x="160"/>
        <item x="140"/>
        <item x="79"/>
        <item x="198"/>
        <item x="192"/>
        <item x="101"/>
        <item x="119"/>
        <item x="75"/>
        <item x="89"/>
        <item x="49"/>
        <item x="98"/>
        <item x="128"/>
        <item x="26"/>
        <item x="104"/>
        <item x="33"/>
        <item x="184"/>
        <item x="139"/>
        <item x="158"/>
        <item x="50"/>
        <item x="80"/>
        <item x="168"/>
        <item x="143"/>
        <item x="61"/>
        <item x="13"/>
        <item x="117"/>
        <item x="155"/>
        <item x="166"/>
        <item x="136"/>
        <item x="135"/>
        <item x="185"/>
        <item x="91"/>
        <item x="167"/>
        <item x="54"/>
        <item x="87"/>
        <item x="121"/>
        <item x="137"/>
        <item x="200"/>
        <item x="77"/>
        <item x="126"/>
        <item x="132"/>
        <item x="81"/>
        <item x="115"/>
        <item x="62"/>
        <item x="51"/>
        <item x="45"/>
        <item x="163"/>
        <item x="142"/>
        <item x="203"/>
        <item x="154"/>
        <item x="38"/>
        <item x="179"/>
        <item x="65"/>
        <item x="2"/>
        <item x="120"/>
        <item x="165"/>
        <item x="174"/>
        <item x="188"/>
        <item x="149"/>
        <item x="141"/>
        <item x="24"/>
        <item x="60"/>
        <item x="123"/>
        <item x="118"/>
        <item x="145"/>
        <item x="110"/>
        <item x="102"/>
        <item x="153"/>
        <item x="182"/>
        <item x="147"/>
        <item x="53"/>
        <item x="48"/>
        <item x="78"/>
        <item x="46"/>
        <item x="99"/>
        <item x="105"/>
        <item x="86"/>
        <item x="176"/>
        <item x="151"/>
        <item x="138"/>
        <item x="131"/>
        <item x="66"/>
        <item x="197"/>
        <item x="92"/>
        <item x="44"/>
        <item x="22"/>
        <item x="187"/>
        <item x="157"/>
        <item x="144"/>
        <item x="8"/>
        <item x="64"/>
        <item x="103"/>
        <item x="47"/>
        <item x="124"/>
        <item x="76"/>
        <item x="39"/>
        <item x="9"/>
        <item x="28"/>
        <item x="85"/>
        <item x="181"/>
        <item x="69"/>
        <item x="129"/>
        <item x="63"/>
        <item x="114"/>
        <item x="84"/>
        <item x="106"/>
        <item x="202"/>
        <item x="43"/>
        <item x="112"/>
        <item x="41"/>
        <item x="164"/>
        <item x="20"/>
        <item x="122"/>
        <item x="162"/>
        <item x="111"/>
        <item x="10"/>
        <item x="7"/>
        <item x="72"/>
        <item x="4"/>
        <item x="58"/>
        <item x="90"/>
        <item x="171"/>
        <item x="190"/>
        <item x="146"/>
        <item x="199"/>
        <item x="68"/>
        <item x="156"/>
        <item x="113"/>
        <item x="12"/>
        <item x="57"/>
        <item x="34"/>
        <item x="95"/>
        <item x="96"/>
        <item x="30"/>
        <item x="177"/>
        <item x="42"/>
        <item x="194"/>
        <item x="183"/>
        <item x="21"/>
        <item x="3"/>
        <item x="19"/>
        <item x="116"/>
        <item x="14"/>
        <item x="193"/>
        <item x="178"/>
        <item x="5"/>
        <item x="189"/>
        <item x="201"/>
        <item x="31"/>
        <item x="152"/>
        <item x="108"/>
        <item x="148"/>
        <item x="196"/>
        <item x="15"/>
        <item x="35"/>
        <item x="127"/>
        <item x="186"/>
        <item x="56"/>
        <item x="52"/>
        <item x="130"/>
        <item x="17"/>
        <item x="134"/>
        <item x="59"/>
        <item x="29"/>
        <item x="6"/>
        <item x="93"/>
        <item x="0"/>
        <item x="83"/>
        <item x="74"/>
        <item x="159"/>
        <item x="55"/>
        <item x="195"/>
        <item x="27"/>
        <item x="170"/>
        <item x="175"/>
        <item x="169"/>
        <item x="97"/>
        <item x="173"/>
        <item x="180"/>
        <item x="71"/>
        <item x="1"/>
        <item x="109"/>
        <item x="191"/>
        <item x="6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s>
  <rowFields count="1">
    <field x="3"/>
  </rowFields>
  <rowItems count="11">
    <i>
      <x v="156"/>
    </i>
    <i>
      <x v="121"/>
    </i>
    <i>
      <x v="175"/>
    </i>
    <i>
      <x v="24"/>
    </i>
    <i>
      <x v="132"/>
    </i>
    <i>
      <x v="32"/>
    </i>
    <i>
      <x v="173"/>
    </i>
    <i>
      <x v="58"/>
    </i>
    <i>
      <x v="8"/>
    </i>
    <i>
      <x v="103"/>
    </i>
    <i t="grand">
      <x/>
    </i>
  </rowItems>
  <colFields count="1">
    <field x="-2"/>
  </colFields>
  <colItems count="2">
    <i>
      <x/>
    </i>
    <i i="1">
      <x v="1"/>
    </i>
  </colItems>
  <dataFields count="2">
    <dataField name="Average of rating" fld="6" subtotal="average" baseField="3" baseItem="0"/>
    <dataField name="Average of rating_count" fld="7" subtotal="average" baseField="3"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C42F21-E676-4836-AE54-CBCC19318D81}"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B58" firstHeaderRow="1" firstDataRow="1" firstDataCol="1"/>
  <pivotFields count="8">
    <pivotField showAll="0"/>
    <pivotField showAll="0"/>
    <pivotField axis="axisRow"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2"/>
  </rowFields>
  <rowItems count="10">
    <i>
      <x v="7"/>
    </i>
    <i>
      <x v="8"/>
    </i>
    <i>
      <x v="5"/>
    </i>
    <i>
      <x v="1"/>
    </i>
    <i>
      <x v="2"/>
    </i>
    <i>
      <x v="4"/>
    </i>
    <i>
      <x v="3"/>
    </i>
    <i>
      <x v="6"/>
    </i>
    <i>
      <x/>
    </i>
    <i t="grand">
      <x/>
    </i>
  </rowItems>
  <colItems count="1">
    <i/>
  </colItems>
  <dataFields count="1">
    <dataField name="Average of rating" fld="6" subtotal="average" baseField="2" baseItem="0"/>
  </dataFields>
  <formats count="1">
    <format dxfId="6">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AEAB92-8F25-4154-9470-EB4BEE4C1723}"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5:B45" firstHeaderRow="1" firstDataRow="1" firstDataCol="1"/>
  <pivotFields count="8">
    <pivotField showAll="0"/>
    <pivotField showAll="0"/>
    <pivotField axis="axisRow" showAll="0" sortType="descending">
      <items count="10">
        <item x="6"/>
        <item x="3"/>
        <item x="2"/>
        <item x="5"/>
        <item x="4"/>
        <item x="8"/>
        <item x="1"/>
        <item x="0"/>
        <item x="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2"/>
  </rowFields>
  <rowItems count="10">
    <i>
      <x v="6"/>
    </i>
    <i>
      <x v="4"/>
    </i>
    <i>
      <x v="8"/>
    </i>
    <i>
      <x v="5"/>
    </i>
    <i>
      <x v="7"/>
    </i>
    <i>
      <x v="2"/>
    </i>
    <i>
      <x v="3"/>
    </i>
    <i>
      <x v="1"/>
    </i>
    <i>
      <x/>
    </i>
    <i t="grand">
      <x/>
    </i>
  </rowItems>
  <colItems count="1">
    <i/>
  </colItems>
  <dataFields count="1">
    <dataField name="Average of actual_price" fld="4" subtotal="average" baseField="2" baseItem="0"/>
  </dataFields>
  <formats count="1">
    <format dxfId="9">
      <pivotArea collapsedLevelsAreSubtotals="1" fieldPosition="0">
        <references count="2">
          <reference field="4294967294" count="1" selected="0">
            <x v="0"/>
          </reference>
          <reference field="2"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25E2C1-6E54-4823-BB54-B7171A28CD57}"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C33" firstHeaderRow="0" firstDataRow="1" firstDataCol="0"/>
  <pivotFields count="8">
    <pivotField showAll="0"/>
    <pivotField showAll="0"/>
    <pivotField showAll="0"/>
    <pivotField showAll="0"/>
    <pivotField showAll="0"/>
    <pivotField dataField="1" showAll="0"/>
    <pivotField showAll="0"/>
    <pivotField showAll="0"/>
  </pivotFields>
  <rowItems count="1">
    <i/>
  </rowItems>
  <colFields count="1">
    <field x="-2"/>
  </colFields>
  <colItems count="3">
    <i>
      <x/>
    </i>
    <i i="1">
      <x v="1"/>
    </i>
    <i i="2">
      <x v="2"/>
    </i>
  </colItems>
  <dataFields count="3">
    <dataField name="Average of discount_percentage" fld="5" subtotal="average" baseField="0" baseItem="1" numFmtId="173"/>
    <dataField name="Max of discount_percentage2" fld="5" subtotal="max" baseField="0" baseItem="1"/>
    <dataField name="Min of discount_percentage3" fld="5" subtotal="min" baseField="0" baseItem="1"/>
  </dataFields>
  <formats count="1">
    <format dxfId="1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5D674C-E098-4D93-9E3B-DC3107E88A5E}"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C30" firstHeaderRow="0" firstDataRow="1" firstDataCol="0"/>
  <pivotFields count="8">
    <pivotField showAll="0"/>
    <pivotField showAll="0"/>
    <pivotField showAll="0"/>
    <pivotField showAll="0"/>
    <pivotField dataField="1" showAll="0"/>
    <pivotField showAll="0"/>
    <pivotField showAll="0"/>
    <pivotField showAll="0"/>
  </pivotFields>
  <rowItems count="1">
    <i/>
  </rowItems>
  <colFields count="1">
    <field x="-2"/>
  </colFields>
  <colItems count="3">
    <i>
      <x/>
    </i>
    <i i="1">
      <x v="1"/>
    </i>
    <i i="2">
      <x v="2"/>
    </i>
  </colItems>
  <dataFields count="3">
    <dataField name="Average of actual_price" fld="4" subtotal="average" baseField="0" baseItem="0" numFmtId="2"/>
    <dataField name="Max of actual_price" fld="4" subtotal="max" baseField="0" baseItem="1"/>
    <dataField name="Min of actual_price" fld="4" subtotal="min" baseField="0" baseItem="1"/>
  </dataFields>
  <formats count="1">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12A653-9DA0-4BF9-A1A0-100961CB87EB}"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11" firstHeaderRow="1" firstDataRow="1" firstDataCol="1"/>
  <pivotFields count="8">
    <pivotField dataField="1" compact="0" outline="0" showAll="0">
      <items count="1350">
        <item x="46"/>
        <item x="143"/>
        <item x="654"/>
        <item x="655"/>
        <item x="663"/>
        <item x="557"/>
        <item x="148"/>
        <item x="189"/>
        <item x="239"/>
        <item x="1065"/>
        <item x="866"/>
        <item x="786"/>
        <item x="1217"/>
        <item x="56"/>
        <item x="33"/>
        <item x="8"/>
        <item x="1091"/>
        <item x="1144"/>
        <item x="717"/>
        <item x="940"/>
        <item x="1020"/>
        <item x="961"/>
        <item x="1028"/>
        <item x="1286"/>
        <item x="1067"/>
        <item x="813"/>
        <item x="1093"/>
        <item x="1346"/>
        <item x="981"/>
        <item x="951"/>
        <item x="989"/>
        <item x="1186"/>
        <item x="569"/>
        <item x="637"/>
        <item x="1212"/>
        <item x="990"/>
        <item x="935"/>
        <item x="606"/>
        <item x="1152"/>
        <item x="1221"/>
        <item x="755"/>
        <item x="886"/>
        <item x="750"/>
        <item x="829"/>
        <item x="754"/>
        <item x="1012"/>
        <item x="948"/>
        <item x="888"/>
        <item x="986"/>
        <item x="181"/>
        <item x="204"/>
        <item x="201"/>
        <item x="321"/>
        <item x="1339"/>
        <item x="694"/>
        <item x="997"/>
        <item x="1013"/>
        <item x="907"/>
        <item x="931"/>
        <item x="1023"/>
        <item x="713"/>
        <item x="1347"/>
        <item x="1321"/>
        <item x="853"/>
        <item x="1265"/>
        <item x="1315"/>
        <item x="797"/>
        <item x="984"/>
        <item x="590"/>
        <item x="702"/>
        <item x="688"/>
        <item x="692"/>
        <item x="684"/>
        <item x="790"/>
        <item x="771"/>
        <item x="1239"/>
        <item x="914"/>
        <item x="618"/>
        <item x="601"/>
        <item x="877"/>
        <item x="894"/>
        <item x="811"/>
        <item x="657"/>
        <item x="627"/>
        <item x="824"/>
        <item x="594"/>
        <item x="743"/>
        <item x="745"/>
        <item x="577"/>
        <item x="763"/>
        <item x="861"/>
        <item x="40"/>
        <item x="30"/>
        <item x="185"/>
        <item x="212"/>
        <item x="1051"/>
        <item x="658"/>
        <item x="917"/>
        <item x="919"/>
        <item x="1008"/>
        <item x="331"/>
        <item x="1111"/>
        <item x="765"/>
        <item x="733"/>
        <item x="781"/>
        <item x="1010"/>
        <item x="639"/>
        <item x="145"/>
        <item x="205"/>
        <item x="883"/>
        <item x="1105"/>
        <item x="1011"/>
        <item x="1191"/>
        <item x="1046"/>
        <item x="945"/>
        <item x="1341"/>
        <item x="638"/>
        <item x="887"/>
        <item x="98"/>
        <item x="982"/>
        <item x="768"/>
        <item x="965"/>
        <item x="635"/>
        <item x="937"/>
        <item x="1045"/>
        <item x="677"/>
        <item x="572"/>
        <item x="419"/>
        <item x="154"/>
        <item x="1140"/>
        <item x="1188"/>
        <item x="686"/>
        <item x="992"/>
        <item x="90"/>
        <item x="1348"/>
        <item x="863"/>
        <item x="1225"/>
        <item x="47"/>
        <item x="65"/>
        <item x="575"/>
        <item x="899"/>
        <item x="1318"/>
        <item x="125"/>
        <item x="629"/>
        <item x="182"/>
        <item x="228"/>
        <item x="301"/>
        <item x="701"/>
        <item x="744"/>
        <item x="725"/>
        <item x="1335"/>
        <item x="1015"/>
        <item x="1205"/>
        <item x="1302"/>
        <item x="921"/>
        <item x="930"/>
        <item x="1306"/>
        <item x="129"/>
        <item x="126"/>
        <item x="260"/>
        <item x="345"/>
        <item x="459"/>
        <item x="752"/>
        <item x="642"/>
        <item x="826"/>
        <item x="959"/>
        <item x="691"/>
        <item x="450"/>
        <item x="499"/>
        <item x="1304"/>
        <item x="512"/>
        <item x="916"/>
        <item x="69"/>
        <item x="63"/>
        <item x="247"/>
        <item x="998"/>
        <item x="664"/>
        <item x="573"/>
        <item x="1004"/>
        <item x="650"/>
        <item x="749"/>
        <item x="558"/>
        <item x="741"/>
        <item x="230"/>
        <item x="864"/>
        <item x="1118"/>
        <item x="722"/>
        <item x="1101"/>
        <item x="1326"/>
        <item x="568"/>
        <item x="293"/>
        <item x="912"/>
        <item x="1178"/>
        <item x="898"/>
        <item x="1059"/>
        <item x="979"/>
        <item x="1150"/>
        <item x="25"/>
        <item x="300"/>
        <item x="969"/>
        <item x="924"/>
        <item x="1345"/>
        <item x="1158"/>
        <item x="626"/>
        <item x="687"/>
        <item x="796"/>
        <item x="915"/>
        <item x="1324"/>
        <item x="1242"/>
        <item x="957"/>
        <item x="1007"/>
        <item x="665"/>
        <item x="1202"/>
        <item x="651"/>
        <item x="55"/>
        <item x="874"/>
        <item x="918"/>
        <item x="740"/>
        <item x="256"/>
        <item x="287"/>
        <item x="1033"/>
        <item x="1006"/>
        <item x="218"/>
        <item x="646"/>
        <item x="1293"/>
        <item x="1128"/>
        <item x="51"/>
        <item x="227"/>
        <item x="1124"/>
        <item x="139"/>
        <item x="138"/>
        <item x="995"/>
        <item x="555"/>
        <item x="860"/>
        <item x="49"/>
        <item x="1025"/>
        <item x="1181"/>
        <item x="714"/>
        <item x="355"/>
        <item x="855"/>
        <item x="1134"/>
        <item x="636"/>
        <item x="667"/>
        <item x="662"/>
        <item x="1014"/>
        <item x="1299"/>
        <item x="242"/>
        <item x="683"/>
        <item x="862"/>
        <item x="1017"/>
        <item x="1227"/>
        <item x="1294"/>
        <item x="274"/>
        <item x="267"/>
        <item x="1264"/>
        <item x="1213"/>
        <item x="603"/>
        <item x="574"/>
        <item x="1331"/>
        <item x="1234"/>
        <item x="614"/>
        <item x="29"/>
        <item x="11"/>
        <item x="531"/>
        <item x="1089"/>
        <item x="788"/>
        <item x="1113"/>
        <item x="923"/>
        <item x="1210"/>
        <item x="1312"/>
        <item x="946"/>
        <item x="967"/>
        <item x="902"/>
        <item x="1271"/>
        <item x="1149"/>
        <item x="252"/>
        <item x="68"/>
        <item x="1076"/>
        <item x="734"/>
        <item x="865"/>
        <item x="615"/>
        <item x="60"/>
        <item x="1287"/>
        <item x="660"/>
        <item x="1131"/>
        <item x="690"/>
        <item x="612"/>
        <item x="258"/>
        <item x="1137"/>
        <item x="288"/>
        <item x="184"/>
        <item x="1226"/>
        <item x="1281"/>
        <item x="191"/>
        <item x="643"/>
        <item x="952"/>
        <item x="812"/>
        <item x="421"/>
        <item x="710"/>
        <item x="102"/>
        <item x="259"/>
        <item x="1080"/>
        <item x="1122"/>
        <item x="261"/>
        <item x="1256"/>
        <item x="1233"/>
        <item x="1328"/>
        <item x="1296"/>
        <item x="1077"/>
        <item x="1058"/>
        <item x="1245"/>
        <item x="732"/>
        <item x="821"/>
        <item x="1290"/>
        <item x="1053"/>
        <item x="953"/>
        <item x="473"/>
        <item x="350"/>
        <item x="393"/>
        <item x="84"/>
        <item x="610"/>
        <item x="1164"/>
        <item x="396"/>
        <item x="920"/>
        <item x="549"/>
        <item x="1222"/>
        <item x="972"/>
        <item x="1115"/>
        <item x="783"/>
        <item x="1277"/>
        <item x="207"/>
        <item x="1276"/>
        <item x="742"/>
        <item x="1342"/>
        <item x="803"/>
        <item x="723"/>
        <item x="1162"/>
        <item x="106"/>
        <item x="89"/>
        <item x="220"/>
        <item x="595"/>
        <item x="104"/>
        <item x="166"/>
        <item x="597"/>
        <item x="566"/>
        <item x="42"/>
        <item x="0"/>
        <item x="1284"/>
        <item x="1337"/>
        <item x="1223"/>
        <item x="576"/>
        <item x="1123"/>
        <item x="879"/>
        <item x="648"/>
        <item x="43"/>
        <item x="160"/>
        <item x="12"/>
        <item x="578"/>
        <item x="868"/>
        <item x="738"/>
        <item x="622"/>
        <item x="623"/>
        <item x="769"/>
        <item x="1261"/>
        <item x="1255"/>
        <item x="893"/>
        <item x="854"/>
        <item x="605"/>
        <item x="1251"/>
        <item x="80"/>
        <item x="170"/>
        <item x="190"/>
        <item x="53"/>
        <item x="976"/>
        <item x="1036"/>
        <item x="706"/>
        <item x="1090"/>
        <item x="585"/>
        <item x="426"/>
        <item x="726"/>
        <item x="909"/>
        <item x="1087"/>
        <item x="1323"/>
        <item x="1062"/>
        <item x="831"/>
        <item x="1270"/>
        <item x="843"/>
        <item x="50"/>
        <item x="229"/>
        <item x="371"/>
        <item x="613"/>
        <item x="565"/>
        <item x="1248"/>
        <item x="457"/>
        <item x="599"/>
        <item x="547"/>
        <item x="936"/>
        <item x="1021"/>
        <item x="904"/>
        <item x="579"/>
        <item x="1220"/>
        <item x="876"/>
        <item x="1133"/>
        <item x="409"/>
        <item x="304"/>
        <item x="1073"/>
        <item x="290"/>
        <item x="859"/>
        <item x="774"/>
        <item x="956"/>
        <item x="1189"/>
        <item x="425"/>
        <item x="766"/>
        <item x="587"/>
        <item x="1169"/>
        <item x="1063"/>
        <item x="947"/>
        <item x="815"/>
        <item x="1310"/>
        <item x="1072"/>
        <item x="564"/>
        <item x="844"/>
        <item x="1237"/>
        <item x="571"/>
        <item x="823"/>
        <item x="619"/>
        <item x="1266"/>
        <item x="1236"/>
        <item x="233"/>
        <item x="695"/>
        <item x="319"/>
        <item x="913"/>
        <item x="911"/>
        <item x="158"/>
        <item x="716"/>
        <item x="802"/>
        <item x="254"/>
        <item x="908"/>
        <item x="1232"/>
        <item x="1325"/>
        <item x="895"/>
        <item x="1112"/>
        <item x="680"/>
        <item x="905"/>
        <item x="856"/>
        <item x="437"/>
        <item x="423"/>
        <item x="387"/>
        <item x="394"/>
        <item x="480"/>
        <item x="349"/>
        <item x="365"/>
        <item x="983"/>
        <item x="469"/>
        <item x="430"/>
        <item x="440"/>
        <item x="422"/>
        <item x="519"/>
        <item x="477"/>
        <item x="374"/>
        <item x="449"/>
        <item x="1039"/>
        <item x="1031"/>
        <item x="727"/>
        <item x="906"/>
        <item x="950"/>
        <item x="1126"/>
        <item x="767"/>
        <item x="808"/>
        <item x="563"/>
        <item x="833"/>
        <item x="45"/>
        <item x="36"/>
        <item x="652"/>
        <item x="1263"/>
        <item x="1298"/>
        <item x="1172"/>
        <item x="1094"/>
        <item x="1116"/>
        <item x="869"/>
        <item x="682"/>
        <item x="795"/>
        <item x="647"/>
        <item x="1200"/>
        <item x="927"/>
        <item x="1235"/>
        <item x="153"/>
        <item x="792"/>
        <item x="672"/>
        <item x="224"/>
        <item x="681"/>
        <item x="719"/>
        <item x="828"/>
        <item x="661"/>
        <item x="1043"/>
        <item x="764"/>
        <item x="1179"/>
        <item x="731"/>
        <item x="202"/>
        <item x="1057"/>
        <item x="1130"/>
        <item x="939"/>
        <item x="806"/>
        <item x="600"/>
        <item x="620"/>
        <item x="1195"/>
        <item x="161"/>
        <item x="241"/>
        <item x="165"/>
        <item x="1309"/>
        <item x="1148"/>
        <item x="1081"/>
        <item x="720"/>
        <item x="970"/>
        <item x="17"/>
        <item x="9"/>
        <item x="134"/>
        <item x="101"/>
        <item x="146"/>
        <item x="52"/>
        <item x="1229"/>
        <item x="949"/>
        <item x="15"/>
        <item x="1142"/>
        <item x="925"/>
        <item x="222"/>
        <item x="1083"/>
        <item x="1052"/>
        <item x="974"/>
        <item x="1060"/>
        <item x="608"/>
        <item x="761"/>
        <item x="872"/>
        <item x="214"/>
        <item x="439"/>
        <item x="852"/>
        <item x="589"/>
        <item x="320"/>
        <item x="878"/>
        <item x="885"/>
        <item x="892"/>
        <item x="757"/>
        <item x="483"/>
        <item x="198"/>
        <item x="120"/>
        <item x="235"/>
        <item x="156"/>
        <item x="164"/>
        <item x="262"/>
        <item x="632"/>
        <item x="21"/>
        <item x="616"/>
        <item x="611"/>
        <item x="141"/>
        <item x="463"/>
        <item x="13"/>
        <item x="399"/>
        <item x="1215"/>
        <item x="407"/>
        <item x="1288"/>
        <item x="724"/>
        <item x="1174"/>
        <item x="329"/>
        <item x="867"/>
        <item x="891"/>
        <item x="653"/>
        <item x="1125"/>
        <item x="794"/>
        <item x="584"/>
        <item x="324"/>
        <item x="966"/>
        <item x="1103"/>
        <item x="850"/>
        <item x="1283"/>
        <item x="157"/>
        <item x="551"/>
        <item x="941"/>
        <item x="1319"/>
        <item x="418"/>
        <item x="26"/>
        <item x="751"/>
        <item x="527"/>
        <item x="318"/>
        <item x="1184"/>
        <item x="515"/>
        <item x="700"/>
        <item x="1146"/>
        <item x="59"/>
        <item x="4"/>
        <item x="10"/>
        <item x="624"/>
        <item x="704"/>
        <item x="971"/>
        <item x="1211"/>
        <item x="99"/>
        <item x="674"/>
        <item x="209"/>
        <item x="1145"/>
        <item x="817"/>
        <item x="144"/>
        <item x="257"/>
        <item x="173"/>
        <item x="836"/>
        <item x="634"/>
        <item x="593"/>
        <item x="900"/>
        <item x="598"/>
        <item x="770"/>
        <item x="980"/>
        <item x="400"/>
        <item x="347"/>
        <item x="857"/>
        <item x="785"/>
        <item x="226"/>
        <item x="7"/>
        <item x="19"/>
        <item x="978"/>
        <item x="649"/>
        <item x="322"/>
        <item x="830"/>
        <item x="397"/>
        <item x="582"/>
        <item x="822"/>
        <item x="840"/>
        <item x="315"/>
        <item x="384"/>
        <item x="302"/>
        <item x="1069"/>
        <item x="1066"/>
        <item x="193"/>
        <item x="1050"/>
        <item x="968"/>
        <item x="838"/>
        <item x="711"/>
        <item x="510"/>
        <item x="308"/>
        <item x="1079"/>
        <item x="1155"/>
        <item x="1136"/>
        <item x="591"/>
        <item x="696"/>
        <item x="1141"/>
        <item x="92"/>
        <item x="3"/>
        <item x="526"/>
        <item x="1099"/>
        <item x="609"/>
        <item x="746"/>
        <item x="488"/>
        <item x="335"/>
        <item x="428"/>
        <item x="354"/>
        <item x="832"/>
        <item x="1096"/>
        <item x="827"/>
        <item x="753"/>
        <item x="1259"/>
        <item x="728"/>
        <item x="560"/>
        <item x="1084"/>
        <item x="507"/>
        <item x="1254"/>
        <item x="460"/>
        <item x="462"/>
        <item x="760"/>
        <item x="922"/>
        <item x="748"/>
        <item x="804"/>
        <item x="1252"/>
        <item x="1163"/>
        <item x="132"/>
        <item x="513"/>
        <item x="360"/>
        <item x="1344"/>
        <item x="644"/>
        <item x="715"/>
        <item x="97"/>
        <item x="592"/>
        <item x="805"/>
        <item x="1275"/>
        <item x="779"/>
        <item x="523"/>
        <item x="353"/>
        <item x="607"/>
        <item x="415"/>
        <item x="818"/>
        <item x="987"/>
        <item x="996"/>
        <item x="1175"/>
        <item x="875"/>
        <item x="1194"/>
        <item x="1092"/>
        <item x="666"/>
        <item x="253"/>
        <item x="1322"/>
        <item x="245"/>
        <item x="313"/>
        <item x="196"/>
        <item x="685"/>
        <item x="327"/>
        <item x="217"/>
        <item x="140"/>
        <item x="177"/>
        <item x="152"/>
        <item x="273"/>
        <item x="689"/>
        <item x="1244"/>
        <item x="621"/>
        <item x="32"/>
        <item x="151"/>
        <item x="1048"/>
        <item x="82"/>
        <item x="73"/>
        <item x="162"/>
        <item x="1278"/>
        <item x="211"/>
        <item x="117"/>
        <item x="159"/>
        <item x="142"/>
        <item x="283"/>
        <item x="438"/>
        <item x="1108"/>
        <item x="903"/>
        <item x="1114"/>
        <item x="839"/>
        <item x="675"/>
        <item x="1295"/>
        <item x="1182"/>
        <item x="889"/>
        <item x="1262"/>
        <item x="870"/>
        <item x="645"/>
        <item x="137"/>
        <item x="963"/>
        <item x="847"/>
        <item x="1198"/>
        <item x="1071"/>
        <item x="562"/>
        <item x="279"/>
        <item x="326"/>
        <item x="433"/>
        <item x="381"/>
        <item x="541"/>
        <item x="383"/>
        <item x="356"/>
        <item x="1187"/>
        <item x="999"/>
        <item x="1070"/>
        <item x="1147"/>
        <item x="673"/>
        <item x="391"/>
        <item x="567"/>
        <item x="1153"/>
        <item x="739"/>
        <item x="787"/>
        <item x="884"/>
        <item x="845"/>
        <item x="187"/>
        <item x="793"/>
        <item x="18"/>
        <item x="1074"/>
        <item x="6"/>
        <item x="1317"/>
        <item x="825"/>
        <item x="1135"/>
        <item x="199"/>
        <item x="179"/>
        <item x="849"/>
        <item x="294"/>
        <item x="286"/>
        <item x="35"/>
        <item x="5"/>
        <item x="124"/>
        <item x="819"/>
        <item x="109"/>
        <item x="810"/>
        <item x="1038"/>
        <item x="890"/>
        <item x="693"/>
        <item x="583"/>
        <item x="1199"/>
        <item x="1285"/>
        <item x="316"/>
        <item x="1206"/>
        <item x="581"/>
        <item x="379"/>
        <item x="1338"/>
        <item x="221"/>
        <item x="1041"/>
        <item x="759"/>
        <item x="773"/>
        <item x="1016"/>
        <item x="994"/>
        <item x="468"/>
        <item x="87"/>
        <item x="276"/>
        <item x="453"/>
        <item x="1314"/>
        <item x="588"/>
        <item x="95"/>
        <item x="96"/>
        <item x="299"/>
        <item x="1218"/>
        <item x="977"/>
        <item x="475"/>
        <item x="669"/>
        <item x="1055"/>
        <item x="816"/>
        <item x="27"/>
        <item x="737"/>
        <item x="389"/>
        <item x="208"/>
        <item x="323"/>
        <item x="216"/>
        <item x="1253"/>
        <item x="1171"/>
        <item x="434"/>
        <item x="730"/>
        <item x="1119"/>
        <item x="2"/>
        <item x="1209"/>
        <item x="503"/>
        <item x="411"/>
        <item x="932"/>
        <item x="446"/>
        <item x="676"/>
        <item x="111"/>
        <item x="83"/>
        <item x="1316"/>
        <item x="268"/>
        <item x="633"/>
        <item x="671"/>
        <item x="311"/>
        <item x="1250"/>
        <item x="435"/>
        <item x="926"/>
        <item x="962"/>
        <item x="928"/>
        <item x="975"/>
        <item x="993"/>
        <item x="1249"/>
        <item x="1027"/>
        <item x="236"/>
        <item x="107"/>
        <item x="1097"/>
        <item x="703"/>
        <item x="631"/>
        <item x="271"/>
        <item x="1"/>
        <item x="548"/>
        <item x="708"/>
        <item x="1117"/>
        <item x="244"/>
        <item x="834"/>
        <item x="405"/>
        <item x="62"/>
        <item x="782"/>
        <item x="1160"/>
        <item x="123"/>
        <item x="1068"/>
        <item x="851"/>
        <item x="882"/>
        <item x="1104"/>
        <item x="250"/>
        <item x="881"/>
        <item x="553"/>
        <item x="535"/>
        <item x="1308"/>
        <item x="712"/>
        <item x="511"/>
        <item x="814"/>
        <item x="248"/>
        <item x="100"/>
        <item x="203"/>
        <item x="194"/>
        <item x="149"/>
        <item x="39"/>
        <item x="20"/>
        <item x="1002"/>
        <item x="1024"/>
        <item x="31"/>
        <item x="75"/>
        <item x="147"/>
        <item x="559"/>
        <item x="1120"/>
        <item x="820"/>
        <item x="116"/>
        <item x="640"/>
        <item x="1032"/>
        <item x="1157"/>
        <item x="325"/>
        <item x="807"/>
        <item x="896"/>
        <item x="263"/>
        <item x="1054"/>
        <item x="22"/>
        <item x="110"/>
        <item x="64"/>
        <item x="377"/>
        <item x="1279"/>
        <item x="427"/>
        <item x="1303"/>
        <item x="1056"/>
        <item x="1219"/>
        <item x="238"/>
        <item x="628"/>
        <item x="842"/>
        <item x="368"/>
        <item x="454"/>
        <item x="729"/>
        <item x="539"/>
        <item x="367"/>
        <item x="735"/>
        <item x="504"/>
        <item x="1000"/>
        <item x="1166"/>
        <item x="225"/>
        <item x="1064"/>
        <item x="1327"/>
        <item x="310"/>
        <item x="295"/>
        <item x="297"/>
        <item x="278"/>
        <item x="1301"/>
        <item x="533"/>
        <item x="272"/>
        <item x="456"/>
        <item x="1167"/>
        <item x="944"/>
        <item x="1138"/>
        <item x="1260"/>
        <item x="167"/>
        <item x="1003"/>
        <item x="41"/>
        <item x="441"/>
        <item x="493"/>
        <item x="219"/>
        <item x="445"/>
        <item x="115"/>
        <item x="14"/>
        <item x="934"/>
        <item x="1088"/>
        <item x="1165"/>
        <item x="243"/>
        <item x="48"/>
        <item x="180"/>
        <item x="809"/>
        <item x="1246"/>
        <item x="175"/>
        <item x="479"/>
        <item x="508"/>
        <item x="489"/>
        <item x="1332"/>
        <item x="933"/>
        <item x="264"/>
        <item x="269"/>
        <item x="275"/>
        <item x="958"/>
        <item x="1231"/>
        <item x="679"/>
        <item x="718"/>
        <item x="1243"/>
        <item x="835"/>
        <item x="1297"/>
        <item x="231"/>
        <item x="858"/>
        <item x="506"/>
        <item x="128"/>
        <item x="296"/>
        <item x="1224"/>
        <item x="388"/>
        <item x="408"/>
        <item x="390"/>
        <item x="1086"/>
        <item x="1026"/>
        <item x="537"/>
        <item x="736"/>
        <item x="431"/>
        <item x="1156"/>
        <item x="556"/>
        <item x="707"/>
        <item x="1040"/>
        <item x="775"/>
        <item x="780"/>
        <item x="1330"/>
        <item x="23"/>
        <item x="44"/>
        <item x="81"/>
        <item x="495"/>
        <item x="466"/>
        <item x="960"/>
        <item x="232"/>
        <item x="784"/>
        <item x="307"/>
        <item x="1305"/>
        <item x="596"/>
        <item x="1238"/>
        <item x="1019"/>
        <item x="544"/>
        <item x="357"/>
        <item x="543"/>
        <item x="521"/>
        <item x="1291"/>
        <item x="656"/>
        <item x="1177"/>
        <item x="789"/>
        <item x="705"/>
        <item x="420"/>
        <item x="317"/>
        <item x="1214"/>
        <item x="630"/>
        <item x="305"/>
        <item x="471"/>
        <item x="385"/>
        <item x="169"/>
        <item x="281"/>
        <item x="880"/>
        <item x="91"/>
        <item x="57"/>
        <item x="66"/>
        <item x="223"/>
        <item x="105"/>
        <item x="131"/>
        <item x="416"/>
        <item x="529"/>
        <item x="487"/>
        <item x="481"/>
        <item x="1247"/>
        <item x="1075"/>
        <item x="721"/>
        <item x="524"/>
        <item x="72"/>
        <item x="747"/>
        <item x="378"/>
        <item x="251"/>
        <item x="330"/>
        <item x="74"/>
        <item x="113"/>
        <item x="37"/>
        <item x="312"/>
        <item x="1207"/>
        <item x="1061"/>
        <item x="756"/>
        <item x="517"/>
        <item x="1082"/>
        <item x="1109"/>
        <item x="424"/>
        <item x="417"/>
        <item x="538"/>
        <item x="382"/>
        <item x="580"/>
        <item x="94"/>
        <item x="846"/>
        <item x="801"/>
        <item x="474"/>
        <item x="114"/>
        <item x="364"/>
        <item x="359"/>
        <item x="289"/>
        <item x="344"/>
        <item x="476"/>
        <item x="442"/>
        <item x="406"/>
        <item x="343"/>
        <item x="758"/>
        <item x="85"/>
        <item x="546"/>
        <item x="1132"/>
        <item x="277"/>
        <item x="988"/>
        <item x="1196"/>
        <item x="1241"/>
        <item x="93"/>
        <item x="500"/>
        <item x="28"/>
        <item x="1273"/>
        <item x="1313"/>
        <item x="1034"/>
        <item x="249"/>
        <item x="402"/>
        <item x="127"/>
        <item x="929"/>
        <item x="1154"/>
        <item x="772"/>
        <item x="133"/>
        <item x="777"/>
        <item x="1037"/>
        <item x="370"/>
        <item x="376"/>
        <item x="348"/>
        <item x="413"/>
        <item x="1268"/>
        <item x="155"/>
        <item x="518"/>
        <item x="1168"/>
        <item x="1274"/>
        <item x="625"/>
        <item x="871"/>
        <item x="698"/>
        <item x="1230"/>
        <item x="943"/>
        <item x="641"/>
        <item x="429"/>
        <item x="436"/>
        <item x="314"/>
        <item x="112"/>
        <item x="791"/>
        <item x="1129"/>
        <item x="240"/>
        <item x="76"/>
        <item x="172"/>
        <item x="464"/>
        <item x="534"/>
        <item x="494"/>
        <item x="363"/>
        <item x="358"/>
        <item x="778"/>
        <item x="668"/>
        <item x="465"/>
        <item x="762"/>
        <item x="1267"/>
        <item x="699"/>
        <item x="1035"/>
        <item x="206"/>
        <item x="404"/>
        <item x="77"/>
        <item x="373"/>
        <item x="973"/>
        <item x="1258"/>
        <item x="617"/>
        <item x="403"/>
        <item x="61"/>
        <item x="192"/>
        <item x="122"/>
        <item x="1190"/>
        <item x="604"/>
        <item x="1197"/>
        <item x="530"/>
        <item x="24"/>
        <item x="130"/>
        <item x="171"/>
        <item x="86"/>
        <item x="659"/>
        <item x="119"/>
        <item x="280"/>
        <item x="444"/>
        <item x="451"/>
        <item x="991"/>
        <item x="897"/>
        <item x="800"/>
        <item x="570"/>
        <item x="540"/>
        <item x="291"/>
        <item x="848"/>
        <item x="1180"/>
        <item x="1009"/>
        <item x="678"/>
        <item x="1139"/>
        <item x="502"/>
        <item x="78"/>
        <item x="955"/>
        <item x="709"/>
        <item x="901"/>
        <item x="528"/>
        <item x="586"/>
        <item x="697"/>
        <item x="337"/>
        <item x="338"/>
        <item x="398"/>
        <item x="505"/>
        <item x="1030"/>
        <item x="1343"/>
        <item x="38"/>
        <item x="178"/>
        <item x="455"/>
        <item x="372"/>
        <item x="176"/>
        <item x="545"/>
        <item x="163"/>
        <item x="333"/>
        <item x="486"/>
        <item x="380"/>
        <item x="1282"/>
        <item x="985"/>
        <item x="282"/>
        <item x="135"/>
        <item x="188"/>
        <item x="215"/>
        <item x="58"/>
        <item x="461"/>
        <item x="401"/>
        <item x="361"/>
        <item x="432"/>
        <item x="392"/>
        <item x="552"/>
        <item x="410"/>
        <item x="414"/>
        <item x="118"/>
        <item x="34"/>
        <item x="136"/>
        <item x="1001"/>
        <item x="1049"/>
        <item x="1106"/>
        <item x="246"/>
        <item x="284"/>
        <item x="1183"/>
        <item x="472"/>
        <item x="448"/>
        <item x="484"/>
        <item x="514"/>
        <item x="458"/>
        <item x="1292"/>
        <item x="334"/>
        <item x="443"/>
        <item x="412"/>
        <item x="386"/>
        <item x="237"/>
        <item x="492"/>
        <item x="841"/>
        <item x="1018"/>
        <item x="342"/>
        <item x="1208"/>
        <item x="509"/>
        <item x="536"/>
        <item x="71"/>
        <item x="910"/>
        <item x="303"/>
        <item x="266"/>
        <item x="195"/>
        <item x="234"/>
        <item x="1151"/>
        <item x="482"/>
        <item x="16"/>
        <item x="197"/>
        <item x="103"/>
        <item x="561"/>
        <item x="285"/>
        <item x="516"/>
        <item x="1201"/>
        <item x="1240"/>
        <item x="1121"/>
        <item x="525"/>
        <item x="1098"/>
        <item x="1203"/>
        <item x="70"/>
        <item x="1336"/>
        <item x="496"/>
        <item x="309"/>
        <item x="183"/>
        <item x="186"/>
        <item x="213"/>
        <item x="328"/>
        <item x="938"/>
        <item x="306"/>
        <item x="1204"/>
        <item x="497"/>
        <item x="1161"/>
        <item x="1329"/>
        <item x="168"/>
        <item x="270"/>
        <item x="554"/>
        <item x="542"/>
        <item x="1102"/>
        <item x="1340"/>
        <item x="602"/>
        <item x="1047"/>
        <item x="1216"/>
        <item x="108"/>
        <item x="67"/>
        <item x="150"/>
        <item x="470"/>
        <item x="498"/>
        <item x="1333"/>
        <item x="292"/>
        <item x="670"/>
        <item x="340"/>
        <item x="336"/>
        <item x="339"/>
        <item x="520"/>
        <item x="532"/>
        <item x="1289"/>
        <item x="255"/>
        <item x="265"/>
        <item x="1143"/>
        <item x="200"/>
        <item x="799"/>
        <item x="1185"/>
        <item x="79"/>
        <item x="478"/>
        <item x="491"/>
        <item x="1044"/>
        <item x="341"/>
        <item x="776"/>
        <item x="351"/>
        <item x="485"/>
        <item x="1311"/>
        <item x="369"/>
        <item x="362"/>
        <item x="375"/>
        <item x="366"/>
        <item x="332"/>
        <item x="1127"/>
        <item x="54"/>
        <item x="837"/>
        <item x="954"/>
        <item x="467"/>
        <item x="1280"/>
        <item x="873"/>
        <item x="798"/>
        <item x="1192"/>
        <item x="121"/>
        <item x="1300"/>
        <item x="1173"/>
        <item x="1334"/>
        <item x="942"/>
        <item x="1307"/>
        <item x="1269"/>
        <item x="1110"/>
        <item x="210"/>
        <item x="1107"/>
        <item x="1159"/>
        <item x="1022"/>
        <item x="352"/>
        <item x="346"/>
        <item x="452"/>
        <item x="522"/>
        <item x="1042"/>
        <item x="490"/>
        <item x="88"/>
        <item x="1176"/>
        <item x="1005"/>
        <item x="1100"/>
        <item x="298"/>
        <item x="1170"/>
        <item x="1257"/>
        <item x="1228"/>
        <item x="1095"/>
        <item x="447"/>
        <item x="501"/>
        <item x="550"/>
        <item x="395"/>
        <item x="174"/>
        <item x="1272"/>
        <item x="1320"/>
        <item x="964"/>
        <item x="1078"/>
        <item x="1193"/>
        <item x="1085"/>
        <item x="1029"/>
        <item t="default"/>
      </items>
    </pivotField>
    <pivotField compact="0" outline="0" showAll="0"/>
    <pivotField axis="axisRow" compact="0" outline="0"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s>
  <rowFields count="1">
    <field x="2"/>
  </rowFields>
  <rowItems count="10">
    <i>
      <x v="2"/>
    </i>
    <i>
      <x v="4"/>
    </i>
    <i>
      <x v="1"/>
    </i>
    <i>
      <x v="7"/>
    </i>
    <i>
      <x v="6"/>
    </i>
    <i>
      <x v="5"/>
    </i>
    <i>
      <x/>
    </i>
    <i>
      <x v="8"/>
    </i>
    <i>
      <x v="3"/>
    </i>
    <i t="grand">
      <x/>
    </i>
  </rowItems>
  <colItems count="1">
    <i/>
  </colItem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654D962-04AD-4214-8380-FC498D4A7E1A}" autoFormatId="16" applyNumberFormats="0" applyBorderFormats="0" applyFontFormats="0" applyPatternFormats="0" applyAlignmentFormats="0" applyWidthHeightFormats="0">
  <queryTableRefresh nextId="10">
    <queryTableFields count="8">
      <queryTableField id="1" name="product_id" tableColumnId="1"/>
      <queryTableField id="2" name="product_name" tableColumnId="2"/>
      <queryTableField id="3" name="category" tableColumnId="3"/>
      <queryTableField id="8" name="subcategory" tableColumnId="8"/>
      <queryTableField id="4" name="actual_price" tableColumnId="4"/>
      <queryTableField id="5" name="discount_percentage" tableColumnId="5"/>
      <queryTableField id="6" name="rating" tableColumnId="6"/>
      <queryTableField id="7" name="rating_count"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10D13A-7B31-4B7C-ACBF-7238118C352D}" name="amazon" displayName="amazon" ref="A1:H1350" tableType="queryTable" totalsRowShown="0">
  <autoFilter ref="A1:H1350" xr:uid="{7310D13A-7B31-4B7C-ACBF-7238118C352D}"/>
  <tableColumns count="8">
    <tableColumn id="1" xr3:uid="{46C0104F-46AB-4F57-A55A-1A84C3D51CDA}" uniqueName="1" name="product_id" queryTableFieldId="1" dataDxfId="42"/>
    <tableColumn id="2" xr3:uid="{273BADDA-F3F7-4A36-BD2A-FC0340958544}" uniqueName="2" name="product_name" queryTableFieldId="2" dataDxfId="41"/>
    <tableColumn id="3" xr3:uid="{9426361A-4E15-4FF2-BC4A-85C1DF564245}" uniqueName="3" name="category" queryTableFieldId="3" dataDxfId="40"/>
    <tableColumn id="8" xr3:uid="{89591A44-D6D1-494F-B7B7-F23FAA1961E3}" uniqueName="8" name="subcategory" queryTableFieldId="8" dataDxfId="39"/>
    <tableColumn id="4" xr3:uid="{7BE8111C-B56F-4F81-A6DC-2D519AECC6F7}" uniqueName="4" name="actual_price" queryTableFieldId="4"/>
    <tableColumn id="5" xr3:uid="{37E33214-A8AF-45E6-8E63-52C570F16FA5}" uniqueName="5" name="discount_percentage" queryTableFieldId="5"/>
    <tableColumn id="6" xr3:uid="{B9998D4E-B325-4D25-B73F-E5F3C88ED74A}" uniqueName="6" name="rating" queryTableFieldId="6"/>
    <tableColumn id="7" xr3:uid="{CDC15FE0-823C-4F96-BB1A-A79E62A7C052}" uniqueName="7" name="rating_count"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06DD6-06A7-4430-8A55-CFCF86806167}">
  <dimension ref="A1:H1350"/>
  <sheetViews>
    <sheetView workbookViewId="0">
      <selection activeCell="C1" sqref="C1"/>
    </sheetView>
  </sheetViews>
  <sheetFormatPr defaultRowHeight="15" x14ac:dyDescent="0.25"/>
  <cols>
    <col min="1" max="1" width="14.7109375" bestFit="1" customWidth="1"/>
    <col min="2" max="2" width="81.140625" bestFit="1" customWidth="1"/>
    <col min="3" max="3" width="22.85546875" bestFit="1" customWidth="1"/>
    <col min="4" max="4" width="40" bestFit="1" customWidth="1"/>
    <col min="5" max="5" width="14" bestFit="1" customWidth="1"/>
    <col min="6" max="6" width="22.140625" bestFit="1" customWidth="1"/>
    <col min="7" max="7" width="8.42578125" bestFit="1" customWidth="1"/>
    <col min="8" max="8" width="14.42578125" customWidth="1"/>
  </cols>
  <sheetData>
    <row r="1" spans="1:8" x14ac:dyDescent="0.25">
      <c r="A1" t="s">
        <v>0</v>
      </c>
      <c r="B1" t="s">
        <v>1</v>
      </c>
      <c r="C1" t="s">
        <v>2</v>
      </c>
      <c r="D1" t="s">
        <v>2693</v>
      </c>
      <c r="E1" t="s">
        <v>3</v>
      </c>
      <c r="F1" t="s">
        <v>4</v>
      </c>
      <c r="G1" t="s">
        <v>5</v>
      </c>
      <c r="H1" t="s">
        <v>6</v>
      </c>
    </row>
    <row r="2" spans="1:8" x14ac:dyDescent="0.25">
      <c r="A2" s="1" t="s">
        <v>7</v>
      </c>
      <c r="B2" s="1" t="s">
        <v>8</v>
      </c>
      <c r="C2" s="1" t="s">
        <v>2694</v>
      </c>
      <c r="D2" s="1" t="s">
        <v>2695</v>
      </c>
      <c r="E2">
        <v>1099</v>
      </c>
      <c r="F2">
        <v>0.64</v>
      </c>
      <c r="G2">
        <v>4.2</v>
      </c>
      <c r="H2">
        <v>24269</v>
      </c>
    </row>
    <row r="3" spans="1:8" x14ac:dyDescent="0.25">
      <c r="A3" s="1" t="s">
        <v>9</v>
      </c>
      <c r="B3" s="1" t="s">
        <v>10</v>
      </c>
      <c r="C3" s="1" t="s">
        <v>2694</v>
      </c>
      <c r="D3" s="1" t="s">
        <v>2695</v>
      </c>
      <c r="E3">
        <v>349</v>
      </c>
      <c r="F3">
        <v>0.43</v>
      </c>
      <c r="G3">
        <v>4</v>
      </c>
      <c r="H3">
        <v>43994</v>
      </c>
    </row>
    <row r="4" spans="1:8" x14ac:dyDescent="0.25">
      <c r="A4" s="1" t="s">
        <v>11</v>
      </c>
      <c r="B4" s="1" t="s">
        <v>12</v>
      </c>
      <c r="C4" s="1" t="s">
        <v>2694</v>
      </c>
      <c r="D4" s="1" t="s">
        <v>2695</v>
      </c>
      <c r="E4">
        <v>1899</v>
      </c>
      <c r="F4">
        <v>0.9</v>
      </c>
      <c r="G4">
        <v>3.9</v>
      </c>
      <c r="H4">
        <v>7928</v>
      </c>
    </row>
    <row r="5" spans="1:8" x14ac:dyDescent="0.25">
      <c r="A5" s="1" t="s">
        <v>13</v>
      </c>
      <c r="B5" s="1" t="s">
        <v>14</v>
      </c>
      <c r="C5" s="1" t="s">
        <v>2694</v>
      </c>
      <c r="D5" s="1" t="s">
        <v>2695</v>
      </c>
      <c r="E5">
        <v>699</v>
      </c>
      <c r="F5">
        <v>0.53</v>
      </c>
      <c r="G5">
        <v>4.2</v>
      </c>
      <c r="H5">
        <v>94363</v>
      </c>
    </row>
    <row r="6" spans="1:8" x14ac:dyDescent="0.25">
      <c r="A6" s="1" t="s">
        <v>15</v>
      </c>
      <c r="B6" s="1" t="s">
        <v>16</v>
      </c>
      <c r="C6" s="1" t="s">
        <v>2694</v>
      </c>
      <c r="D6" s="1" t="s">
        <v>2695</v>
      </c>
      <c r="E6">
        <v>399</v>
      </c>
      <c r="F6">
        <v>0.61</v>
      </c>
      <c r="G6">
        <v>4.2</v>
      </c>
      <c r="H6">
        <v>16905</v>
      </c>
    </row>
    <row r="7" spans="1:8" x14ac:dyDescent="0.25">
      <c r="A7" s="1" t="s">
        <v>17</v>
      </c>
      <c r="B7" s="1" t="s">
        <v>18</v>
      </c>
      <c r="C7" s="1" t="s">
        <v>2694</v>
      </c>
      <c r="D7" s="1" t="s">
        <v>2695</v>
      </c>
      <c r="E7">
        <v>1000</v>
      </c>
      <c r="F7">
        <v>0.85</v>
      </c>
      <c r="G7">
        <v>3.9</v>
      </c>
      <c r="H7">
        <v>24871</v>
      </c>
    </row>
    <row r="8" spans="1:8" x14ac:dyDescent="0.25">
      <c r="A8" s="1" t="s">
        <v>19</v>
      </c>
      <c r="B8" s="1" t="s">
        <v>20</v>
      </c>
      <c r="C8" s="1" t="s">
        <v>2694</v>
      </c>
      <c r="D8" s="1" t="s">
        <v>2695</v>
      </c>
      <c r="E8">
        <v>499</v>
      </c>
      <c r="F8">
        <v>0.65</v>
      </c>
      <c r="G8">
        <v>4.0999999999999996</v>
      </c>
      <c r="H8">
        <v>15188</v>
      </c>
    </row>
    <row r="9" spans="1:8" x14ac:dyDescent="0.25">
      <c r="A9" s="1" t="s">
        <v>21</v>
      </c>
      <c r="B9" s="1" t="s">
        <v>22</v>
      </c>
      <c r="C9" s="1" t="s">
        <v>2694</v>
      </c>
      <c r="D9" s="1" t="s">
        <v>2695</v>
      </c>
      <c r="E9">
        <v>299</v>
      </c>
      <c r="F9">
        <v>0.23</v>
      </c>
      <c r="G9">
        <v>4.3</v>
      </c>
      <c r="H9">
        <v>30411</v>
      </c>
    </row>
    <row r="10" spans="1:8" x14ac:dyDescent="0.25">
      <c r="A10" s="1" t="s">
        <v>23</v>
      </c>
      <c r="B10" s="1" t="s">
        <v>24</v>
      </c>
      <c r="C10" s="1" t="s">
        <v>2694</v>
      </c>
      <c r="D10" s="1" t="s">
        <v>2696</v>
      </c>
      <c r="E10">
        <v>999</v>
      </c>
      <c r="F10">
        <v>0.5</v>
      </c>
      <c r="G10">
        <v>4.2</v>
      </c>
      <c r="H10">
        <v>179691</v>
      </c>
    </row>
    <row r="11" spans="1:8" x14ac:dyDescent="0.25">
      <c r="A11" s="1" t="s">
        <v>25</v>
      </c>
      <c r="B11" s="1" t="s">
        <v>26</v>
      </c>
      <c r="C11" s="1" t="s">
        <v>2694</v>
      </c>
      <c r="D11" s="1" t="s">
        <v>2695</v>
      </c>
      <c r="E11">
        <v>299</v>
      </c>
      <c r="F11">
        <v>0.33</v>
      </c>
      <c r="G11">
        <v>4</v>
      </c>
      <c r="H11">
        <v>43994</v>
      </c>
    </row>
    <row r="12" spans="1:8" x14ac:dyDescent="0.25">
      <c r="A12" s="1" t="s">
        <v>27</v>
      </c>
      <c r="B12" s="1" t="s">
        <v>28</v>
      </c>
      <c r="C12" s="1" t="s">
        <v>2694</v>
      </c>
      <c r="D12" s="1" t="s">
        <v>2695</v>
      </c>
      <c r="E12">
        <v>339</v>
      </c>
      <c r="F12">
        <v>0.55000000000000004</v>
      </c>
      <c r="G12">
        <v>4.3</v>
      </c>
      <c r="H12">
        <v>13391</v>
      </c>
    </row>
    <row r="13" spans="1:8" x14ac:dyDescent="0.25">
      <c r="A13" s="1" t="s">
        <v>29</v>
      </c>
      <c r="B13" s="1" t="s">
        <v>30</v>
      </c>
      <c r="C13" s="1" t="s">
        <v>2694</v>
      </c>
      <c r="D13" s="1" t="s">
        <v>2695</v>
      </c>
      <c r="E13">
        <v>799</v>
      </c>
      <c r="F13">
        <v>0.63</v>
      </c>
      <c r="G13">
        <v>4.2</v>
      </c>
      <c r="H13">
        <v>94363</v>
      </c>
    </row>
    <row r="14" spans="1:8" x14ac:dyDescent="0.25">
      <c r="A14" s="1" t="s">
        <v>31</v>
      </c>
      <c r="B14" s="1" t="s">
        <v>32</v>
      </c>
      <c r="C14" s="1" t="s">
        <v>2697</v>
      </c>
      <c r="D14" s="1" t="s">
        <v>2698</v>
      </c>
      <c r="E14">
        <v>700</v>
      </c>
      <c r="F14">
        <v>0.69</v>
      </c>
      <c r="G14">
        <v>4.4000000000000004</v>
      </c>
      <c r="H14">
        <v>426973</v>
      </c>
    </row>
    <row r="15" spans="1:8" x14ac:dyDescent="0.25">
      <c r="A15" s="1" t="s">
        <v>33</v>
      </c>
      <c r="B15" s="1" t="s">
        <v>34</v>
      </c>
      <c r="C15" s="1" t="s">
        <v>2694</v>
      </c>
      <c r="D15" s="1" t="s">
        <v>2695</v>
      </c>
      <c r="E15">
        <v>899</v>
      </c>
      <c r="F15">
        <v>0.61</v>
      </c>
      <c r="G15">
        <v>4.2</v>
      </c>
      <c r="H15">
        <v>2262</v>
      </c>
    </row>
    <row r="16" spans="1:8" x14ac:dyDescent="0.25">
      <c r="A16" s="1" t="s">
        <v>35</v>
      </c>
      <c r="B16" s="1" t="s">
        <v>36</v>
      </c>
      <c r="C16" s="1" t="s">
        <v>2694</v>
      </c>
      <c r="D16" s="1" t="s">
        <v>2695</v>
      </c>
      <c r="E16">
        <v>399</v>
      </c>
      <c r="F16">
        <v>0.6</v>
      </c>
      <c r="G16">
        <v>4.0999999999999996</v>
      </c>
      <c r="H16">
        <v>4768</v>
      </c>
    </row>
    <row r="17" spans="1:8" x14ac:dyDescent="0.25">
      <c r="A17" s="1" t="s">
        <v>37</v>
      </c>
      <c r="B17" s="1" t="s">
        <v>38</v>
      </c>
      <c r="C17" s="1" t="s">
        <v>2694</v>
      </c>
      <c r="D17" s="1" t="s">
        <v>2695</v>
      </c>
      <c r="E17">
        <v>399</v>
      </c>
      <c r="F17">
        <v>0.13</v>
      </c>
      <c r="G17">
        <v>4.4000000000000004</v>
      </c>
      <c r="H17">
        <v>18757</v>
      </c>
    </row>
    <row r="18" spans="1:8" x14ac:dyDescent="0.25">
      <c r="A18" s="1" t="s">
        <v>39</v>
      </c>
      <c r="B18" s="1" t="s">
        <v>40</v>
      </c>
      <c r="C18" s="1" t="s">
        <v>2697</v>
      </c>
      <c r="D18" s="1" t="s">
        <v>2699</v>
      </c>
      <c r="E18">
        <v>24999</v>
      </c>
      <c r="F18">
        <v>0.44</v>
      </c>
      <c r="G18">
        <v>4.2</v>
      </c>
      <c r="H18">
        <v>32840</v>
      </c>
    </row>
    <row r="19" spans="1:8" x14ac:dyDescent="0.25">
      <c r="A19" s="1" t="s">
        <v>41</v>
      </c>
      <c r="B19" s="1" t="s">
        <v>42</v>
      </c>
      <c r="C19" s="1" t="s">
        <v>2694</v>
      </c>
      <c r="D19" s="1" t="s">
        <v>2695</v>
      </c>
      <c r="E19">
        <v>399</v>
      </c>
      <c r="F19">
        <v>0.38</v>
      </c>
      <c r="G19">
        <v>4</v>
      </c>
      <c r="H19">
        <v>43994</v>
      </c>
    </row>
    <row r="20" spans="1:8" x14ac:dyDescent="0.25">
      <c r="A20" s="1" t="s">
        <v>43</v>
      </c>
      <c r="B20" s="1" t="s">
        <v>44</v>
      </c>
      <c r="C20" s="1" t="s">
        <v>2694</v>
      </c>
      <c r="D20" s="1" t="s">
        <v>2695</v>
      </c>
      <c r="E20">
        <v>499</v>
      </c>
      <c r="F20">
        <v>0.6</v>
      </c>
      <c r="G20">
        <v>4.0999999999999996</v>
      </c>
      <c r="H20">
        <v>13045</v>
      </c>
    </row>
    <row r="21" spans="1:8" x14ac:dyDescent="0.25">
      <c r="A21" s="1" t="s">
        <v>45</v>
      </c>
      <c r="B21" s="1" t="s">
        <v>46</v>
      </c>
      <c r="C21" s="1" t="s">
        <v>2697</v>
      </c>
      <c r="D21" s="1" t="s">
        <v>2699</v>
      </c>
      <c r="E21">
        <v>21990</v>
      </c>
      <c r="F21">
        <v>0.39</v>
      </c>
      <c r="G21">
        <v>4.3</v>
      </c>
      <c r="H21">
        <v>11976</v>
      </c>
    </row>
    <row r="22" spans="1:8" x14ac:dyDescent="0.25">
      <c r="A22" s="1" t="s">
        <v>47</v>
      </c>
      <c r="B22" s="1" t="s">
        <v>48</v>
      </c>
      <c r="C22" s="1" t="s">
        <v>2694</v>
      </c>
      <c r="D22" s="1" t="s">
        <v>2695</v>
      </c>
      <c r="E22">
        <v>1799</v>
      </c>
      <c r="F22">
        <v>0.46</v>
      </c>
      <c r="G22">
        <v>4.5</v>
      </c>
      <c r="H22">
        <v>815</v>
      </c>
    </row>
    <row r="23" spans="1:8" x14ac:dyDescent="0.25">
      <c r="A23" s="1" t="s">
        <v>49</v>
      </c>
      <c r="B23" s="1" t="s">
        <v>50</v>
      </c>
      <c r="C23" s="1" t="s">
        <v>2697</v>
      </c>
      <c r="D23" s="1" t="s">
        <v>2698</v>
      </c>
      <c r="E23">
        <v>499</v>
      </c>
      <c r="F23">
        <v>0.44</v>
      </c>
      <c r="G23">
        <v>3.7</v>
      </c>
      <c r="H23">
        <v>10962</v>
      </c>
    </row>
    <row r="24" spans="1:8" x14ac:dyDescent="0.25">
      <c r="A24" s="1" t="s">
        <v>51</v>
      </c>
      <c r="B24" s="1" t="s">
        <v>52</v>
      </c>
      <c r="C24" s="1" t="s">
        <v>2697</v>
      </c>
      <c r="D24" s="1" t="s">
        <v>2699</v>
      </c>
      <c r="E24">
        <v>22900</v>
      </c>
      <c r="F24">
        <v>0.41</v>
      </c>
      <c r="G24">
        <v>4.3</v>
      </c>
      <c r="H24">
        <v>16299</v>
      </c>
    </row>
    <row r="25" spans="1:8" x14ac:dyDescent="0.25">
      <c r="A25" s="1" t="s">
        <v>53</v>
      </c>
      <c r="B25" s="1" t="s">
        <v>54</v>
      </c>
      <c r="C25" s="1" t="s">
        <v>2694</v>
      </c>
      <c r="D25" s="1" t="s">
        <v>2695</v>
      </c>
      <c r="E25">
        <v>199</v>
      </c>
      <c r="F25">
        <v>0.7</v>
      </c>
      <c r="G25">
        <v>4</v>
      </c>
      <c r="H25">
        <v>9378</v>
      </c>
    </row>
    <row r="26" spans="1:8" x14ac:dyDescent="0.25">
      <c r="A26" s="1" t="s">
        <v>55</v>
      </c>
      <c r="B26" s="1" t="s">
        <v>56</v>
      </c>
      <c r="C26" s="1" t="s">
        <v>2697</v>
      </c>
      <c r="D26" s="1" t="s">
        <v>2699</v>
      </c>
      <c r="E26">
        <v>19990</v>
      </c>
      <c r="F26">
        <v>0.42</v>
      </c>
      <c r="G26">
        <v>4.3</v>
      </c>
      <c r="H26">
        <v>4703</v>
      </c>
    </row>
    <row r="27" spans="1:8" x14ac:dyDescent="0.25">
      <c r="A27" s="1" t="s">
        <v>57</v>
      </c>
      <c r="B27" s="1" t="s">
        <v>58</v>
      </c>
      <c r="C27" s="1" t="s">
        <v>2697</v>
      </c>
      <c r="D27" s="1" t="s">
        <v>2698</v>
      </c>
      <c r="E27">
        <v>699</v>
      </c>
      <c r="F27">
        <v>0.72</v>
      </c>
      <c r="G27">
        <v>4.2</v>
      </c>
      <c r="H27">
        <v>12153</v>
      </c>
    </row>
    <row r="28" spans="1:8" x14ac:dyDescent="0.25">
      <c r="A28" s="1" t="s">
        <v>59</v>
      </c>
      <c r="B28" s="1" t="s">
        <v>60</v>
      </c>
      <c r="C28" s="1" t="s">
        <v>2697</v>
      </c>
      <c r="D28" s="1" t="s">
        <v>2699</v>
      </c>
      <c r="E28">
        <v>19999</v>
      </c>
      <c r="F28">
        <v>0.25</v>
      </c>
      <c r="G28">
        <v>4.2</v>
      </c>
      <c r="H28">
        <v>34899</v>
      </c>
    </row>
    <row r="29" spans="1:8" x14ac:dyDescent="0.25">
      <c r="A29" s="1" t="s">
        <v>61</v>
      </c>
      <c r="B29" s="1" t="s">
        <v>62</v>
      </c>
      <c r="C29" s="1" t="s">
        <v>2694</v>
      </c>
      <c r="D29" s="1" t="s">
        <v>2695</v>
      </c>
      <c r="E29">
        <v>399</v>
      </c>
      <c r="F29">
        <v>0.25</v>
      </c>
      <c r="G29">
        <v>4</v>
      </c>
      <c r="H29">
        <v>2766</v>
      </c>
    </row>
    <row r="30" spans="1:8" x14ac:dyDescent="0.25">
      <c r="A30" s="1" t="s">
        <v>63</v>
      </c>
      <c r="B30" s="1" t="s">
        <v>64</v>
      </c>
      <c r="C30" s="1" t="s">
        <v>2694</v>
      </c>
      <c r="D30" s="1" t="s">
        <v>2695</v>
      </c>
      <c r="E30">
        <v>1999</v>
      </c>
      <c r="F30">
        <v>0.51</v>
      </c>
      <c r="G30">
        <v>4.4000000000000004</v>
      </c>
      <c r="H30">
        <v>184</v>
      </c>
    </row>
    <row r="31" spans="1:8" x14ac:dyDescent="0.25">
      <c r="A31" s="1" t="s">
        <v>65</v>
      </c>
      <c r="B31" s="1" t="s">
        <v>66</v>
      </c>
      <c r="C31" s="1" t="s">
        <v>2694</v>
      </c>
      <c r="D31" s="1" t="s">
        <v>2695</v>
      </c>
      <c r="E31">
        <v>999</v>
      </c>
      <c r="F31">
        <v>0.7</v>
      </c>
      <c r="G31">
        <v>4.3</v>
      </c>
      <c r="H31">
        <v>20850</v>
      </c>
    </row>
    <row r="32" spans="1:8" x14ac:dyDescent="0.25">
      <c r="A32" s="1" t="s">
        <v>67</v>
      </c>
      <c r="B32" s="1" t="s">
        <v>68</v>
      </c>
      <c r="C32" s="1" t="s">
        <v>2694</v>
      </c>
      <c r="D32" s="1" t="s">
        <v>2695</v>
      </c>
      <c r="E32">
        <v>750</v>
      </c>
      <c r="F32">
        <v>0.73</v>
      </c>
      <c r="G32">
        <v>4.5</v>
      </c>
      <c r="H32">
        <v>74976</v>
      </c>
    </row>
    <row r="33" spans="1:8" x14ac:dyDescent="0.25">
      <c r="A33" s="1" t="s">
        <v>69</v>
      </c>
      <c r="B33" s="1" t="s">
        <v>70</v>
      </c>
      <c r="C33" s="1" t="s">
        <v>2694</v>
      </c>
      <c r="D33" s="1" t="s">
        <v>2695</v>
      </c>
      <c r="E33">
        <v>499</v>
      </c>
      <c r="F33">
        <v>0.64</v>
      </c>
      <c r="G33">
        <v>4</v>
      </c>
      <c r="H33">
        <v>1934</v>
      </c>
    </row>
    <row r="34" spans="1:8" x14ac:dyDescent="0.25">
      <c r="A34" s="1" t="s">
        <v>71</v>
      </c>
      <c r="B34" s="1" t="s">
        <v>72</v>
      </c>
      <c r="C34" s="1" t="s">
        <v>2694</v>
      </c>
      <c r="D34" s="1" t="s">
        <v>2695</v>
      </c>
      <c r="E34">
        <v>1099</v>
      </c>
      <c r="F34">
        <v>0.65</v>
      </c>
      <c r="G34">
        <v>4.3</v>
      </c>
      <c r="H34">
        <v>974</v>
      </c>
    </row>
    <row r="35" spans="1:8" x14ac:dyDescent="0.25">
      <c r="A35" s="1" t="s">
        <v>73</v>
      </c>
      <c r="B35" s="1" t="s">
        <v>74</v>
      </c>
      <c r="C35" s="1" t="s">
        <v>2694</v>
      </c>
      <c r="D35" s="1" t="s">
        <v>2695</v>
      </c>
      <c r="E35">
        <v>599</v>
      </c>
      <c r="F35">
        <v>0</v>
      </c>
      <c r="G35">
        <v>4.3</v>
      </c>
      <c r="H35">
        <v>355</v>
      </c>
    </row>
    <row r="36" spans="1:8" x14ac:dyDescent="0.25">
      <c r="A36" s="1" t="s">
        <v>75</v>
      </c>
      <c r="B36" s="1" t="s">
        <v>76</v>
      </c>
      <c r="C36" s="1" t="s">
        <v>2694</v>
      </c>
      <c r="D36" s="1" t="s">
        <v>2695</v>
      </c>
      <c r="E36">
        <v>999</v>
      </c>
      <c r="F36">
        <v>0.8</v>
      </c>
      <c r="G36">
        <v>3.9</v>
      </c>
      <c r="H36">
        <v>1075</v>
      </c>
    </row>
    <row r="37" spans="1:8" x14ac:dyDescent="0.25">
      <c r="A37" s="1" t="s">
        <v>77</v>
      </c>
      <c r="B37" s="1" t="s">
        <v>78</v>
      </c>
      <c r="C37" s="1" t="s">
        <v>2694</v>
      </c>
      <c r="D37" s="1" t="s">
        <v>2695</v>
      </c>
      <c r="E37">
        <v>666.66</v>
      </c>
      <c r="F37">
        <v>0.85</v>
      </c>
      <c r="G37">
        <v>3.9</v>
      </c>
      <c r="H37">
        <v>24871</v>
      </c>
    </row>
    <row r="38" spans="1:8" x14ac:dyDescent="0.25">
      <c r="A38" s="1" t="s">
        <v>79</v>
      </c>
      <c r="B38" s="1" t="s">
        <v>80</v>
      </c>
      <c r="C38" s="1" t="s">
        <v>2694</v>
      </c>
      <c r="D38" s="1" t="s">
        <v>2695</v>
      </c>
      <c r="E38">
        <v>1900</v>
      </c>
      <c r="F38">
        <v>0.53</v>
      </c>
      <c r="G38">
        <v>4.4000000000000004</v>
      </c>
      <c r="H38">
        <v>13552</v>
      </c>
    </row>
    <row r="39" spans="1:8" x14ac:dyDescent="0.25">
      <c r="A39" s="1" t="s">
        <v>81</v>
      </c>
      <c r="B39" s="1" t="s">
        <v>82</v>
      </c>
      <c r="C39" s="1" t="s">
        <v>2694</v>
      </c>
      <c r="D39" s="1" t="s">
        <v>2695</v>
      </c>
      <c r="E39">
        <v>999</v>
      </c>
      <c r="F39">
        <v>0.8</v>
      </c>
      <c r="G39">
        <v>4</v>
      </c>
      <c r="H39">
        <v>576</v>
      </c>
    </row>
    <row r="40" spans="1:8" x14ac:dyDescent="0.25">
      <c r="A40" s="1" t="s">
        <v>83</v>
      </c>
      <c r="B40" s="1" t="s">
        <v>84</v>
      </c>
      <c r="C40" s="1" t="s">
        <v>2697</v>
      </c>
      <c r="D40" s="1" t="s">
        <v>2699</v>
      </c>
      <c r="E40">
        <v>45999</v>
      </c>
      <c r="F40">
        <v>0.28000000000000003</v>
      </c>
      <c r="G40">
        <v>4.2</v>
      </c>
      <c r="H40">
        <v>7298</v>
      </c>
    </row>
    <row r="41" spans="1:8" x14ac:dyDescent="0.25">
      <c r="A41" s="1" t="s">
        <v>85</v>
      </c>
      <c r="B41" s="1" t="s">
        <v>86</v>
      </c>
      <c r="C41" s="1" t="s">
        <v>2694</v>
      </c>
      <c r="D41" s="1" t="s">
        <v>2695</v>
      </c>
      <c r="E41">
        <v>1999</v>
      </c>
      <c r="F41">
        <v>0.51</v>
      </c>
      <c r="G41">
        <v>4.2</v>
      </c>
      <c r="H41">
        <v>462</v>
      </c>
    </row>
    <row r="42" spans="1:8" x14ac:dyDescent="0.25">
      <c r="A42" s="1" t="s">
        <v>87</v>
      </c>
      <c r="B42" s="1" t="s">
        <v>88</v>
      </c>
      <c r="C42" s="1" t="s">
        <v>2694</v>
      </c>
      <c r="D42" s="1" t="s">
        <v>2695</v>
      </c>
      <c r="E42">
        <v>695</v>
      </c>
      <c r="F42">
        <v>0.7</v>
      </c>
      <c r="G42">
        <v>4.5</v>
      </c>
      <c r="H42">
        <v>107687</v>
      </c>
    </row>
    <row r="43" spans="1:8" x14ac:dyDescent="0.25">
      <c r="A43" s="1" t="s">
        <v>89</v>
      </c>
      <c r="B43" s="1" t="s">
        <v>90</v>
      </c>
      <c r="C43" s="1" t="s">
        <v>2697</v>
      </c>
      <c r="D43" s="1" t="s">
        <v>2699</v>
      </c>
      <c r="E43">
        <v>34999</v>
      </c>
      <c r="F43">
        <v>0.43</v>
      </c>
      <c r="G43">
        <v>4.3</v>
      </c>
      <c r="H43">
        <v>27151</v>
      </c>
    </row>
    <row r="44" spans="1:8" x14ac:dyDescent="0.25">
      <c r="A44" s="1" t="s">
        <v>91</v>
      </c>
      <c r="B44" s="1" t="s">
        <v>92</v>
      </c>
      <c r="C44" s="1" t="s">
        <v>2694</v>
      </c>
      <c r="D44" s="1" t="s">
        <v>2695</v>
      </c>
      <c r="E44">
        <v>1099</v>
      </c>
      <c r="F44">
        <v>0.64</v>
      </c>
      <c r="G44">
        <v>4.2</v>
      </c>
      <c r="H44">
        <v>24269</v>
      </c>
    </row>
    <row r="45" spans="1:8" x14ac:dyDescent="0.25">
      <c r="A45" s="1" t="s">
        <v>93</v>
      </c>
      <c r="B45" s="1" t="s">
        <v>94</v>
      </c>
      <c r="C45" s="1" t="s">
        <v>2694</v>
      </c>
      <c r="D45" s="1" t="s">
        <v>2696</v>
      </c>
      <c r="E45">
        <v>1599</v>
      </c>
      <c r="F45">
        <v>0.38</v>
      </c>
      <c r="G45">
        <v>4.3</v>
      </c>
      <c r="H45">
        <v>12093</v>
      </c>
    </row>
    <row r="46" spans="1:8" x14ac:dyDescent="0.25">
      <c r="A46" s="1" t="s">
        <v>95</v>
      </c>
      <c r="B46" s="1" t="s">
        <v>96</v>
      </c>
      <c r="C46" s="1" t="s">
        <v>2694</v>
      </c>
      <c r="D46" s="1" t="s">
        <v>2695</v>
      </c>
      <c r="E46">
        <v>199</v>
      </c>
      <c r="F46">
        <v>0.7</v>
      </c>
      <c r="G46">
        <v>4</v>
      </c>
      <c r="H46">
        <v>9378</v>
      </c>
    </row>
    <row r="47" spans="1:8" x14ac:dyDescent="0.25">
      <c r="A47" s="1" t="s">
        <v>97</v>
      </c>
      <c r="B47" s="1" t="s">
        <v>98</v>
      </c>
      <c r="C47" s="1" t="s">
        <v>2694</v>
      </c>
      <c r="D47" s="1" t="s">
        <v>2695</v>
      </c>
      <c r="E47">
        <v>999</v>
      </c>
      <c r="F47">
        <v>0.67</v>
      </c>
      <c r="G47">
        <v>3.3</v>
      </c>
      <c r="H47">
        <v>9792</v>
      </c>
    </row>
    <row r="48" spans="1:8" x14ac:dyDescent="0.25">
      <c r="A48" s="1" t="s">
        <v>99</v>
      </c>
      <c r="B48" s="1" t="s">
        <v>100</v>
      </c>
      <c r="C48" s="1" t="s">
        <v>2694</v>
      </c>
      <c r="D48" s="1" t="s">
        <v>2696</v>
      </c>
      <c r="E48">
        <v>1208</v>
      </c>
      <c r="F48">
        <v>0.57999999999999996</v>
      </c>
      <c r="G48">
        <v>4.0999999999999996</v>
      </c>
      <c r="H48">
        <v>8131</v>
      </c>
    </row>
    <row r="49" spans="1:8" x14ac:dyDescent="0.25">
      <c r="A49" s="1" t="s">
        <v>101</v>
      </c>
      <c r="B49" s="1" t="s">
        <v>102</v>
      </c>
      <c r="C49" s="1" t="s">
        <v>2697</v>
      </c>
      <c r="D49" s="1" t="s">
        <v>2698</v>
      </c>
      <c r="E49">
        <v>475</v>
      </c>
      <c r="F49">
        <v>0.35</v>
      </c>
      <c r="G49">
        <v>4.4000000000000004</v>
      </c>
      <c r="H49">
        <v>426973</v>
      </c>
    </row>
    <row r="50" spans="1:8" x14ac:dyDescent="0.25">
      <c r="A50" s="1" t="s">
        <v>103</v>
      </c>
      <c r="B50" s="1" t="s">
        <v>104</v>
      </c>
      <c r="C50" s="1" t="s">
        <v>2697</v>
      </c>
      <c r="D50" s="1" t="s">
        <v>2700</v>
      </c>
      <c r="E50">
        <v>999</v>
      </c>
      <c r="F50">
        <v>0.6</v>
      </c>
      <c r="G50">
        <v>3.6</v>
      </c>
      <c r="H50">
        <v>493</v>
      </c>
    </row>
    <row r="51" spans="1:8" x14ac:dyDescent="0.25">
      <c r="A51" s="1" t="s">
        <v>105</v>
      </c>
      <c r="B51" s="1" t="s">
        <v>106</v>
      </c>
      <c r="C51" s="1" t="s">
        <v>2694</v>
      </c>
      <c r="D51" s="1" t="s">
        <v>2695</v>
      </c>
      <c r="E51">
        <v>395</v>
      </c>
      <c r="F51">
        <v>0.5</v>
      </c>
      <c r="G51">
        <v>4.2</v>
      </c>
      <c r="H51">
        <v>92595</v>
      </c>
    </row>
    <row r="52" spans="1:8" x14ac:dyDescent="0.25">
      <c r="A52" s="1" t="s">
        <v>107</v>
      </c>
      <c r="B52" s="1" t="s">
        <v>108</v>
      </c>
      <c r="C52" s="1" t="s">
        <v>2694</v>
      </c>
      <c r="D52" s="1" t="s">
        <v>2696</v>
      </c>
      <c r="E52">
        <v>2199</v>
      </c>
      <c r="F52">
        <v>0.45</v>
      </c>
      <c r="G52">
        <v>4.4000000000000004</v>
      </c>
      <c r="H52">
        <v>24780</v>
      </c>
    </row>
    <row r="53" spans="1:8" x14ac:dyDescent="0.25">
      <c r="A53" s="1" t="s">
        <v>109</v>
      </c>
      <c r="B53" s="1" t="s">
        <v>110</v>
      </c>
      <c r="C53" s="1" t="s">
        <v>2694</v>
      </c>
      <c r="D53" s="1" t="s">
        <v>2695</v>
      </c>
      <c r="E53">
        <v>500</v>
      </c>
      <c r="F53">
        <v>0.64</v>
      </c>
      <c r="G53">
        <v>4.2</v>
      </c>
      <c r="H53">
        <v>92595</v>
      </c>
    </row>
    <row r="54" spans="1:8" x14ac:dyDescent="0.25">
      <c r="A54" s="1" t="s">
        <v>111</v>
      </c>
      <c r="B54" s="1" t="s">
        <v>112</v>
      </c>
      <c r="C54" s="1" t="s">
        <v>2694</v>
      </c>
      <c r="D54" s="1" t="s">
        <v>2695</v>
      </c>
      <c r="E54">
        <v>2100</v>
      </c>
      <c r="F54">
        <v>0.62</v>
      </c>
      <c r="G54">
        <v>4.3</v>
      </c>
      <c r="H54">
        <v>8188</v>
      </c>
    </row>
    <row r="55" spans="1:8" x14ac:dyDescent="0.25">
      <c r="A55" s="1" t="s">
        <v>113</v>
      </c>
      <c r="B55" s="1" t="s">
        <v>114</v>
      </c>
      <c r="C55" s="1" t="s">
        <v>2697</v>
      </c>
      <c r="D55" s="1" t="s">
        <v>2701</v>
      </c>
      <c r="E55">
        <v>12999</v>
      </c>
      <c r="F55">
        <v>0.46</v>
      </c>
      <c r="G55">
        <v>4.2</v>
      </c>
      <c r="H55">
        <v>4003</v>
      </c>
    </row>
    <row r="56" spans="1:8" x14ac:dyDescent="0.25">
      <c r="A56" s="1" t="s">
        <v>115</v>
      </c>
      <c r="B56" s="1" t="s">
        <v>116</v>
      </c>
      <c r="C56" s="1" t="s">
        <v>2694</v>
      </c>
      <c r="D56" s="1" t="s">
        <v>2695</v>
      </c>
      <c r="E56">
        <v>349</v>
      </c>
      <c r="F56">
        <v>0.43</v>
      </c>
      <c r="G56">
        <v>4.0999999999999996</v>
      </c>
      <c r="H56">
        <v>314</v>
      </c>
    </row>
    <row r="57" spans="1:8" x14ac:dyDescent="0.25">
      <c r="A57" s="1" t="s">
        <v>117</v>
      </c>
      <c r="B57" s="1" t="s">
        <v>118</v>
      </c>
      <c r="C57" s="1" t="s">
        <v>2697</v>
      </c>
      <c r="D57" s="1" t="s">
        <v>2700</v>
      </c>
      <c r="E57">
        <v>499</v>
      </c>
      <c r="F57">
        <v>0.54</v>
      </c>
      <c r="G57">
        <v>3.7</v>
      </c>
      <c r="H57">
        <v>2960</v>
      </c>
    </row>
    <row r="58" spans="1:8" x14ac:dyDescent="0.25">
      <c r="A58" s="1" t="s">
        <v>119</v>
      </c>
      <c r="B58" s="1" t="s">
        <v>120</v>
      </c>
      <c r="C58" s="1" t="s">
        <v>2694</v>
      </c>
      <c r="D58" s="1" t="s">
        <v>2696</v>
      </c>
      <c r="E58">
        <v>1399</v>
      </c>
      <c r="F58">
        <v>0.54</v>
      </c>
      <c r="G58">
        <v>4.2</v>
      </c>
      <c r="H58">
        <v>179691</v>
      </c>
    </row>
    <row r="59" spans="1:8" x14ac:dyDescent="0.25">
      <c r="A59" s="1" t="s">
        <v>121</v>
      </c>
      <c r="B59" s="1" t="s">
        <v>122</v>
      </c>
      <c r="C59" s="1" t="s">
        <v>2697</v>
      </c>
      <c r="D59" s="1" t="s">
        <v>2699</v>
      </c>
      <c r="E59">
        <v>21999</v>
      </c>
      <c r="F59">
        <v>0.27</v>
      </c>
      <c r="G59">
        <v>4.2</v>
      </c>
      <c r="H59">
        <v>34899</v>
      </c>
    </row>
    <row r="60" spans="1:8" x14ac:dyDescent="0.25">
      <c r="A60" s="1" t="s">
        <v>123</v>
      </c>
      <c r="B60" s="1" t="s">
        <v>124</v>
      </c>
      <c r="C60" s="1" t="s">
        <v>2694</v>
      </c>
      <c r="D60" s="1" t="s">
        <v>2695</v>
      </c>
      <c r="E60">
        <v>1499</v>
      </c>
      <c r="F60">
        <v>0.77</v>
      </c>
      <c r="G60">
        <v>4.2</v>
      </c>
      <c r="H60">
        <v>656</v>
      </c>
    </row>
    <row r="61" spans="1:8" x14ac:dyDescent="0.25">
      <c r="A61" s="1" t="s">
        <v>125</v>
      </c>
      <c r="B61" s="1" t="s">
        <v>126</v>
      </c>
      <c r="C61" s="1" t="s">
        <v>2694</v>
      </c>
      <c r="D61" s="1" t="s">
        <v>2695</v>
      </c>
      <c r="E61">
        <v>349</v>
      </c>
      <c r="F61">
        <v>0.56000000000000005</v>
      </c>
      <c r="G61">
        <v>4.3</v>
      </c>
      <c r="H61">
        <v>7064</v>
      </c>
    </row>
    <row r="62" spans="1:8" x14ac:dyDescent="0.25">
      <c r="A62" s="1" t="s">
        <v>127</v>
      </c>
      <c r="B62" s="1" t="s">
        <v>128</v>
      </c>
      <c r="C62" s="1" t="s">
        <v>2697</v>
      </c>
      <c r="D62" s="1" t="s">
        <v>2700</v>
      </c>
      <c r="E62">
        <v>799</v>
      </c>
      <c r="F62">
        <v>0.78</v>
      </c>
      <c r="G62">
        <v>3.7</v>
      </c>
      <c r="H62">
        <v>2201</v>
      </c>
    </row>
    <row r="63" spans="1:8" x14ac:dyDescent="0.25">
      <c r="A63" s="1" t="s">
        <v>129</v>
      </c>
      <c r="B63" s="1" t="s">
        <v>130</v>
      </c>
      <c r="C63" s="1" t="s">
        <v>2697</v>
      </c>
      <c r="D63" s="1" t="s">
        <v>2699</v>
      </c>
      <c r="E63">
        <v>47900</v>
      </c>
      <c r="F63">
        <v>0.31</v>
      </c>
      <c r="G63">
        <v>4.3</v>
      </c>
      <c r="H63">
        <v>7109</v>
      </c>
    </row>
    <row r="64" spans="1:8" x14ac:dyDescent="0.25">
      <c r="A64" s="1" t="s">
        <v>131</v>
      </c>
      <c r="B64" s="1" t="s">
        <v>132</v>
      </c>
      <c r="C64" s="1" t="s">
        <v>2694</v>
      </c>
      <c r="D64" s="1" t="s">
        <v>2695</v>
      </c>
      <c r="E64">
        <v>999</v>
      </c>
      <c r="F64">
        <v>0.86</v>
      </c>
      <c r="G64">
        <v>4</v>
      </c>
      <c r="H64">
        <v>1313</v>
      </c>
    </row>
    <row r="65" spans="1:8" x14ac:dyDescent="0.25">
      <c r="A65" s="1" t="s">
        <v>133</v>
      </c>
      <c r="B65" s="1" t="s">
        <v>134</v>
      </c>
      <c r="C65" s="1" t="s">
        <v>2694</v>
      </c>
      <c r="D65" s="1" t="s">
        <v>2695</v>
      </c>
      <c r="E65">
        <v>845</v>
      </c>
      <c r="F65">
        <v>0.61</v>
      </c>
      <c r="G65">
        <v>4.2</v>
      </c>
      <c r="H65">
        <v>29746</v>
      </c>
    </row>
    <row r="66" spans="1:8" x14ac:dyDescent="0.25">
      <c r="A66" s="1" t="s">
        <v>135</v>
      </c>
      <c r="B66" s="1" t="s">
        <v>136</v>
      </c>
      <c r="C66" s="1" t="s">
        <v>2697</v>
      </c>
      <c r="D66" s="1" t="s">
        <v>2699</v>
      </c>
      <c r="E66">
        <v>24999</v>
      </c>
      <c r="F66">
        <v>0.44</v>
      </c>
      <c r="G66">
        <v>4.2</v>
      </c>
      <c r="H66">
        <v>45238</v>
      </c>
    </row>
    <row r="67" spans="1:8" x14ac:dyDescent="0.25">
      <c r="A67" s="1" t="s">
        <v>137</v>
      </c>
      <c r="B67" s="1" t="s">
        <v>138</v>
      </c>
      <c r="C67" s="1" t="s">
        <v>2697</v>
      </c>
      <c r="D67" s="1" t="s">
        <v>2698</v>
      </c>
      <c r="E67">
        <v>1400</v>
      </c>
      <c r="F67">
        <v>0.78</v>
      </c>
      <c r="G67">
        <v>4.4000000000000004</v>
      </c>
      <c r="H67">
        <v>426973</v>
      </c>
    </row>
    <row r="68" spans="1:8" x14ac:dyDescent="0.25">
      <c r="A68" s="1" t="s">
        <v>139</v>
      </c>
      <c r="B68" s="1" t="s">
        <v>140</v>
      </c>
      <c r="C68" s="1" t="s">
        <v>2694</v>
      </c>
      <c r="D68" s="1" t="s">
        <v>2695</v>
      </c>
      <c r="E68">
        <v>699</v>
      </c>
      <c r="F68">
        <v>0.62</v>
      </c>
      <c r="G68">
        <v>4.0999999999999996</v>
      </c>
      <c r="H68">
        <v>450</v>
      </c>
    </row>
    <row r="69" spans="1:8" x14ac:dyDescent="0.25">
      <c r="A69" s="1" t="s">
        <v>141</v>
      </c>
      <c r="B69" s="1" t="s">
        <v>142</v>
      </c>
      <c r="C69" s="1" t="s">
        <v>2697</v>
      </c>
      <c r="D69" s="1" t="s">
        <v>2701</v>
      </c>
      <c r="E69">
        <v>14990</v>
      </c>
      <c r="F69">
        <v>0.47</v>
      </c>
      <c r="G69">
        <v>4.3</v>
      </c>
      <c r="H69">
        <v>457</v>
      </c>
    </row>
    <row r="70" spans="1:8" x14ac:dyDescent="0.25">
      <c r="A70" s="1" t="s">
        <v>143</v>
      </c>
      <c r="B70" s="1" t="s">
        <v>144</v>
      </c>
      <c r="C70" s="1" t="s">
        <v>2697</v>
      </c>
      <c r="D70" s="1" t="s">
        <v>2702</v>
      </c>
      <c r="E70">
        <v>2999</v>
      </c>
      <c r="F70">
        <v>0.47</v>
      </c>
      <c r="G70">
        <v>4.2</v>
      </c>
      <c r="H70">
        <v>2727</v>
      </c>
    </row>
    <row r="71" spans="1:8" x14ac:dyDescent="0.25">
      <c r="A71" s="1" t="s">
        <v>145</v>
      </c>
      <c r="B71" s="1" t="s">
        <v>146</v>
      </c>
      <c r="C71" s="1" t="s">
        <v>2694</v>
      </c>
      <c r="D71" s="1" t="s">
        <v>2695</v>
      </c>
      <c r="E71">
        <v>700</v>
      </c>
      <c r="F71">
        <v>0.69</v>
      </c>
      <c r="G71">
        <v>4.3</v>
      </c>
      <c r="H71">
        <v>20053</v>
      </c>
    </row>
    <row r="72" spans="1:8" x14ac:dyDescent="0.25">
      <c r="A72" s="1" t="s">
        <v>147</v>
      </c>
      <c r="B72" s="1" t="s">
        <v>148</v>
      </c>
      <c r="C72" s="1" t="s">
        <v>2694</v>
      </c>
      <c r="D72" s="1" t="s">
        <v>2695</v>
      </c>
      <c r="E72">
        <v>899</v>
      </c>
      <c r="F72">
        <v>0.61</v>
      </c>
      <c r="G72">
        <v>4.5</v>
      </c>
      <c r="H72">
        <v>149</v>
      </c>
    </row>
    <row r="73" spans="1:8" x14ac:dyDescent="0.25">
      <c r="A73" s="1" t="s">
        <v>149</v>
      </c>
      <c r="B73" s="1" t="s">
        <v>150</v>
      </c>
      <c r="C73" s="1" t="s">
        <v>2694</v>
      </c>
      <c r="D73" s="1" t="s">
        <v>2695</v>
      </c>
      <c r="E73">
        <v>599</v>
      </c>
      <c r="F73">
        <v>0.42</v>
      </c>
      <c r="G73">
        <v>4.0999999999999996</v>
      </c>
      <c r="H73">
        <v>210</v>
      </c>
    </row>
    <row r="74" spans="1:8" x14ac:dyDescent="0.25">
      <c r="A74" s="1" t="s">
        <v>151</v>
      </c>
      <c r="B74" s="1" t="s">
        <v>152</v>
      </c>
      <c r="C74" s="1" t="s">
        <v>2697</v>
      </c>
      <c r="D74" s="1" t="s">
        <v>2699</v>
      </c>
      <c r="E74">
        <v>42999</v>
      </c>
      <c r="F74">
        <v>0.37</v>
      </c>
      <c r="G74">
        <v>4.2</v>
      </c>
      <c r="H74">
        <v>45238</v>
      </c>
    </row>
    <row r="75" spans="1:8" x14ac:dyDescent="0.25">
      <c r="A75" s="1" t="s">
        <v>153</v>
      </c>
      <c r="B75" s="1" t="s">
        <v>154</v>
      </c>
      <c r="C75" s="1" t="s">
        <v>2694</v>
      </c>
      <c r="D75" s="1" t="s">
        <v>2695</v>
      </c>
      <c r="E75">
        <v>499</v>
      </c>
      <c r="F75">
        <v>0.77</v>
      </c>
      <c r="G75">
        <v>4</v>
      </c>
      <c r="H75">
        <v>7732</v>
      </c>
    </row>
    <row r="76" spans="1:8" x14ac:dyDescent="0.25">
      <c r="A76" s="1" t="s">
        <v>155</v>
      </c>
      <c r="B76" s="1" t="s">
        <v>156</v>
      </c>
      <c r="C76" s="1" t="s">
        <v>2694</v>
      </c>
      <c r="D76" s="1" t="s">
        <v>2695</v>
      </c>
      <c r="E76">
        <v>999</v>
      </c>
      <c r="F76">
        <v>0.6</v>
      </c>
      <c r="G76">
        <v>4.0999999999999996</v>
      </c>
      <c r="H76">
        <v>1780</v>
      </c>
    </row>
    <row r="77" spans="1:8" x14ac:dyDescent="0.25">
      <c r="A77" s="1" t="s">
        <v>157</v>
      </c>
      <c r="B77" s="1" t="s">
        <v>158</v>
      </c>
      <c r="C77" s="1" t="s">
        <v>2694</v>
      </c>
      <c r="D77" s="1" t="s">
        <v>2695</v>
      </c>
      <c r="E77">
        <v>499</v>
      </c>
      <c r="F77">
        <v>0.6</v>
      </c>
      <c r="G77">
        <v>4.0999999999999996</v>
      </c>
      <c r="H77">
        <v>602</v>
      </c>
    </row>
    <row r="78" spans="1:8" x14ac:dyDescent="0.25">
      <c r="A78" s="1" t="s">
        <v>159</v>
      </c>
      <c r="B78" s="1" t="s">
        <v>160</v>
      </c>
      <c r="C78" s="1" t="s">
        <v>2694</v>
      </c>
      <c r="D78" s="1" t="s">
        <v>2695</v>
      </c>
      <c r="E78">
        <v>399</v>
      </c>
      <c r="F78">
        <v>0.55000000000000004</v>
      </c>
      <c r="G78">
        <v>4</v>
      </c>
      <c r="H78">
        <v>1423</v>
      </c>
    </row>
    <row r="79" spans="1:8" x14ac:dyDescent="0.25">
      <c r="A79" s="1" t="s">
        <v>161</v>
      </c>
      <c r="B79" s="1" t="s">
        <v>162</v>
      </c>
      <c r="C79" s="1" t="s">
        <v>2697</v>
      </c>
      <c r="D79" s="1" t="s">
        <v>2699</v>
      </c>
      <c r="E79">
        <v>30990</v>
      </c>
      <c r="F79">
        <v>0.65</v>
      </c>
      <c r="G79">
        <v>4.0999999999999996</v>
      </c>
      <c r="H79">
        <v>398</v>
      </c>
    </row>
    <row r="80" spans="1:8" x14ac:dyDescent="0.25">
      <c r="A80" s="1" t="s">
        <v>163</v>
      </c>
      <c r="B80" s="1" t="s">
        <v>164</v>
      </c>
      <c r="C80" s="1" t="s">
        <v>2694</v>
      </c>
      <c r="D80" s="1" t="s">
        <v>2695</v>
      </c>
      <c r="E80">
        <v>499</v>
      </c>
      <c r="F80">
        <v>0.57999999999999996</v>
      </c>
      <c r="G80">
        <v>3.9</v>
      </c>
      <c r="H80">
        <v>536</v>
      </c>
    </row>
    <row r="81" spans="1:8" x14ac:dyDescent="0.25">
      <c r="A81" s="1" t="s">
        <v>165</v>
      </c>
      <c r="B81" s="1" t="s">
        <v>166</v>
      </c>
      <c r="C81" s="1" t="s">
        <v>2697</v>
      </c>
      <c r="D81" s="1" t="s">
        <v>2700</v>
      </c>
      <c r="E81">
        <v>3999</v>
      </c>
      <c r="F81">
        <v>0.64</v>
      </c>
      <c r="G81">
        <v>4</v>
      </c>
      <c r="H81">
        <v>32</v>
      </c>
    </row>
    <row r="82" spans="1:8" x14ac:dyDescent="0.25">
      <c r="A82" s="1" t="s">
        <v>167</v>
      </c>
      <c r="B82" s="1" t="s">
        <v>168</v>
      </c>
      <c r="C82" s="1" t="s">
        <v>2694</v>
      </c>
      <c r="D82" s="1" t="s">
        <v>2695</v>
      </c>
      <c r="E82">
        <v>1099</v>
      </c>
      <c r="F82">
        <v>0.64</v>
      </c>
      <c r="G82">
        <v>4.2</v>
      </c>
      <c r="H82">
        <v>24269</v>
      </c>
    </row>
    <row r="83" spans="1:8" x14ac:dyDescent="0.25">
      <c r="A83" s="1" t="s">
        <v>169</v>
      </c>
      <c r="B83" s="1" t="s">
        <v>170</v>
      </c>
      <c r="C83" s="1" t="s">
        <v>2694</v>
      </c>
      <c r="D83" s="1" t="s">
        <v>2695</v>
      </c>
      <c r="E83">
        <v>249</v>
      </c>
      <c r="F83">
        <v>0.44</v>
      </c>
      <c r="G83">
        <v>4</v>
      </c>
      <c r="H83">
        <v>9378</v>
      </c>
    </row>
    <row r="84" spans="1:8" x14ac:dyDescent="0.25">
      <c r="A84" s="1" t="s">
        <v>171</v>
      </c>
      <c r="B84" s="1" t="s">
        <v>172</v>
      </c>
      <c r="C84" s="1" t="s">
        <v>2697</v>
      </c>
      <c r="D84" s="1" t="s">
        <v>2699</v>
      </c>
      <c r="E84">
        <v>19125</v>
      </c>
      <c r="F84">
        <v>0.62</v>
      </c>
      <c r="G84">
        <v>3.4</v>
      </c>
      <c r="H84">
        <v>902</v>
      </c>
    </row>
    <row r="85" spans="1:8" x14ac:dyDescent="0.25">
      <c r="A85" s="1" t="s">
        <v>173</v>
      </c>
      <c r="B85" s="1" t="s">
        <v>174</v>
      </c>
      <c r="C85" s="1" t="s">
        <v>2694</v>
      </c>
      <c r="D85" s="1" t="s">
        <v>2695</v>
      </c>
      <c r="E85">
        <v>799</v>
      </c>
      <c r="F85">
        <v>0.63</v>
      </c>
      <c r="G85">
        <v>4.4000000000000004</v>
      </c>
      <c r="H85">
        <v>28791</v>
      </c>
    </row>
    <row r="86" spans="1:8" x14ac:dyDescent="0.25">
      <c r="A86" s="1" t="s">
        <v>175</v>
      </c>
      <c r="B86" s="1" t="s">
        <v>176</v>
      </c>
      <c r="C86" s="1" t="s">
        <v>2694</v>
      </c>
      <c r="D86" s="1" t="s">
        <v>2695</v>
      </c>
      <c r="E86">
        <v>1299</v>
      </c>
      <c r="F86">
        <v>0.75</v>
      </c>
      <c r="G86">
        <v>4.2</v>
      </c>
      <c r="H86">
        <v>10576</v>
      </c>
    </row>
    <row r="87" spans="1:8" x14ac:dyDescent="0.25">
      <c r="A87" s="1" t="s">
        <v>177</v>
      </c>
      <c r="B87" s="1" t="s">
        <v>178</v>
      </c>
      <c r="C87" s="1" t="s">
        <v>2697</v>
      </c>
      <c r="D87" s="1" t="s">
        <v>2699</v>
      </c>
      <c r="E87">
        <v>39999</v>
      </c>
      <c r="F87">
        <v>0.25</v>
      </c>
      <c r="G87">
        <v>4.2</v>
      </c>
      <c r="H87">
        <v>7298</v>
      </c>
    </row>
    <row r="88" spans="1:8" x14ac:dyDescent="0.25">
      <c r="A88" s="1" t="s">
        <v>179</v>
      </c>
      <c r="B88" s="1" t="s">
        <v>180</v>
      </c>
      <c r="C88" s="1" t="s">
        <v>2697</v>
      </c>
      <c r="D88" s="1" t="s">
        <v>2699</v>
      </c>
      <c r="E88">
        <v>40990</v>
      </c>
      <c r="F88">
        <v>0.32</v>
      </c>
      <c r="G88">
        <v>4.3</v>
      </c>
      <c r="H88">
        <v>4703</v>
      </c>
    </row>
    <row r="89" spans="1:8" x14ac:dyDescent="0.25">
      <c r="A89" s="1" t="s">
        <v>181</v>
      </c>
      <c r="B89" s="1" t="s">
        <v>182</v>
      </c>
      <c r="C89" s="1" t="s">
        <v>2697</v>
      </c>
      <c r="D89" s="1" t="s">
        <v>2699</v>
      </c>
      <c r="E89">
        <v>52900</v>
      </c>
      <c r="F89">
        <v>0.41</v>
      </c>
      <c r="G89">
        <v>4.3</v>
      </c>
      <c r="H89">
        <v>7109</v>
      </c>
    </row>
    <row r="90" spans="1:8" x14ac:dyDescent="0.25">
      <c r="A90" s="1" t="s">
        <v>183</v>
      </c>
      <c r="B90" s="1" t="s">
        <v>184</v>
      </c>
      <c r="C90" s="1" t="s">
        <v>2694</v>
      </c>
      <c r="D90" s="1" t="s">
        <v>2695</v>
      </c>
      <c r="E90">
        <v>999</v>
      </c>
      <c r="F90">
        <v>0.8</v>
      </c>
      <c r="G90">
        <v>4.5</v>
      </c>
      <c r="H90">
        <v>127</v>
      </c>
    </row>
    <row r="91" spans="1:8" x14ac:dyDescent="0.25">
      <c r="A91" s="1" t="s">
        <v>185</v>
      </c>
      <c r="B91" s="1" t="s">
        <v>186</v>
      </c>
      <c r="C91" s="1" t="s">
        <v>2694</v>
      </c>
      <c r="D91" s="1" t="s">
        <v>2695</v>
      </c>
      <c r="E91">
        <v>1999</v>
      </c>
      <c r="F91">
        <v>0.68</v>
      </c>
      <c r="G91">
        <v>4.2</v>
      </c>
      <c r="H91">
        <v>24269</v>
      </c>
    </row>
    <row r="92" spans="1:8" x14ac:dyDescent="0.25">
      <c r="A92" s="1" t="s">
        <v>187</v>
      </c>
      <c r="B92" s="1" t="s">
        <v>188</v>
      </c>
      <c r="C92" s="1" t="s">
        <v>2694</v>
      </c>
      <c r="D92" s="1" t="s">
        <v>2696</v>
      </c>
      <c r="E92">
        <v>800</v>
      </c>
      <c r="F92">
        <v>0.66</v>
      </c>
      <c r="G92">
        <v>3.6</v>
      </c>
      <c r="H92">
        <v>10134</v>
      </c>
    </row>
    <row r="93" spans="1:8" x14ac:dyDescent="0.25">
      <c r="A93" s="1" t="s">
        <v>189</v>
      </c>
      <c r="B93" s="1" t="s">
        <v>190</v>
      </c>
      <c r="C93" s="1" t="s">
        <v>2697</v>
      </c>
      <c r="D93" s="1" t="s">
        <v>2699</v>
      </c>
      <c r="E93">
        <v>31999</v>
      </c>
      <c r="F93">
        <v>0.22</v>
      </c>
      <c r="G93">
        <v>4.2</v>
      </c>
      <c r="H93">
        <v>34899</v>
      </c>
    </row>
    <row r="94" spans="1:8" x14ac:dyDescent="0.25">
      <c r="A94" s="1" t="s">
        <v>191</v>
      </c>
      <c r="B94" s="1" t="s">
        <v>192</v>
      </c>
      <c r="C94" s="1" t="s">
        <v>2694</v>
      </c>
      <c r="D94" s="1" t="s">
        <v>2695</v>
      </c>
      <c r="E94">
        <v>699</v>
      </c>
      <c r="F94">
        <v>0.56999999999999995</v>
      </c>
      <c r="G94">
        <v>4.2</v>
      </c>
      <c r="H94">
        <v>94363</v>
      </c>
    </row>
    <row r="95" spans="1:8" x14ac:dyDescent="0.25">
      <c r="A95" s="1" t="s">
        <v>193</v>
      </c>
      <c r="B95" s="1" t="s">
        <v>194</v>
      </c>
      <c r="C95" s="1" t="s">
        <v>2694</v>
      </c>
      <c r="D95" s="1" t="s">
        <v>2695</v>
      </c>
      <c r="E95">
        <v>999</v>
      </c>
      <c r="F95">
        <v>0.8</v>
      </c>
      <c r="G95">
        <v>4.0999999999999996</v>
      </c>
      <c r="H95">
        <v>425</v>
      </c>
    </row>
    <row r="96" spans="1:8" x14ac:dyDescent="0.25">
      <c r="A96" s="1" t="s">
        <v>195</v>
      </c>
      <c r="B96" s="1" t="s">
        <v>196</v>
      </c>
      <c r="C96" s="1" t="s">
        <v>2697</v>
      </c>
      <c r="D96" s="1" t="s">
        <v>2699</v>
      </c>
      <c r="E96">
        <v>40990</v>
      </c>
      <c r="F96">
        <v>0.54</v>
      </c>
      <c r="G96">
        <v>4.2</v>
      </c>
      <c r="H96">
        <v>6659</v>
      </c>
    </row>
    <row r="97" spans="1:8" x14ac:dyDescent="0.25">
      <c r="A97" s="1" t="s">
        <v>197</v>
      </c>
      <c r="B97" s="1" t="s">
        <v>198</v>
      </c>
      <c r="C97" s="1" t="s">
        <v>2694</v>
      </c>
      <c r="D97" s="1" t="s">
        <v>2696</v>
      </c>
      <c r="E97">
        <v>349</v>
      </c>
      <c r="F97">
        <v>0.17</v>
      </c>
      <c r="G97">
        <v>3.7</v>
      </c>
      <c r="H97">
        <v>1977</v>
      </c>
    </row>
    <row r="98" spans="1:8" x14ac:dyDescent="0.25">
      <c r="A98" s="1" t="s">
        <v>199</v>
      </c>
      <c r="B98" s="1" t="s">
        <v>200</v>
      </c>
      <c r="C98" s="1" t="s">
        <v>2697</v>
      </c>
      <c r="D98" s="1" t="s">
        <v>2700</v>
      </c>
      <c r="E98">
        <v>799</v>
      </c>
      <c r="F98">
        <v>0.69</v>
      </c>
      <c r="G98">
        <v>3.8</v>
      </c>
      <c r="H98">
        <v>1079</v>
      </c>
    </row>
    <row r="99" spans="1:8" x14ac:dyDescent="0.25">
      <c r="A99" s="1" t="s">
        <v>201</v>
      </c>
      <c r="B99" s="1" t="s">
        <v>202</v>
      </c>
      <c r="C99" s="1" t="s">
        <v>2694</v>
      </c>
      <c r="D99" s="1" t="s">
        <v>2695</v>
      </c>
      <c r="E99">
        <v>999</v>
      </c>
      <c r="F99">
        <v>0.65</v>
      </c>
      <c r="G99">
        <v>3.7</v>
      </c>
      <c r="H99">
        <v>1097</v>
      </c>
    </row>
    <row r="100" spans="1:8" x14ac:dyDescent="0.25">
      <c r="A100" s="1" t="s">
        <v>203</v>
      </c>
      <c r="B100" s="1" t="s">
        <v>204</v>
      </c>
      <c r="C100" s="1" t="s">
        <v>2694</v>
      </c>
      <c r="D100" s="1" t="s">
        <v>2696</v>
      </c>
      <c r="E100">
        <v>1899</v>
      </c>
      <c r="F100">
        <v>0.42</v>
      </c>
      <c r="G100">
        <v>4.5</v>
      </c>
      <c r="H100">
        <v>22420</v>
      </c>
    </row>
    <row r="101" spans="1:8" x14ac:dyDescent="0.25">
      <c r="A101" s="1" t="s">
        <v>205</v>
      </c>
      <c r="B101" s="1" t="s">
        <v>206</v>
      </c>
      <c r="C101" s="1" t="s">
        <v>2694</v>
      </c>
      <c r="D101" s="1" t="s">
        <v>2695</v>
      </c>
      <c r="E101">
        <v>1499</v>
      </c>
      <c r="F101">
        <v>0.52</v>
      </c>
      <c r="G101">
        <v>4.0999999999999996</v>
      </c>
      <c r="H101">
        <v>1045</v>
      </c>
    </row>
    <row r="102" spans="1:8" x14ac:dyDescent="0.25">
      <c r="A102" s="1" t="s">
        <v>207</v>
      </c>
      <c r="B102" s="1" t="s">
        <v>208</v>
      </c>
      <c r="C102" s="1" t="s">
        <v>2697</v>
      </c>
      <c r="D102" s="1" t="s">
        <v>2700</v>
      </c>
      <c r="E102">
        <v>1499</v>
      </c>
      <c r="F102">
        <v>0.77</v>
      </c>
      <c r="G102">
        <v>4.3</v>
      </c>
      <c r="H102">
        <v>4145</v>
      </c>
    </row>
    <row r="103" spans="1:8" x14ac:dyDescent="0.25">
      <c r="A103" s="1" t="s">
        <v>209</v>
      </c>
      <c r="B103" s="1" t="s">
        <v>210</v>
      </c>
      <c r="C103" s="1" t="s">
        <v>2694</v>
      </c>
      <c r="D103" s="1" t="s">
        <v>2695</v>
      </c>
      <c r="E103">
        <v>1809</v>
      </c>
      <c r="F103">
        <v>0.53</v>
      </c>
      <c r="G103">
        <v>4.3</v>
      </c>
      <c r="H103">
        <v>6547</v>
      </c>
    </row>
    <row r="104" spans="1:8" x14ac:dyDescent="0.25">
      <c r="A104" s="1" t="s">
        <v>211</v>
      </c>
      <c r="B104" s="1" t="s">
        <v>212</v>
      </c>
      <c r="C104" s="1" t="s">
        <v>2697</v>
      </c>
      <c r="D104" s="1" t="s">
        <v>2700</v>
      </c>
      <c r="E104">
        <v>899</v>
      </c>
      <c r="F104">
        <v>0.67</v>
      </c>
      <c r="G104">
        <v>4</v>
      </c>
      <c r="H104">
        <v>1588</v>
      </c>
    </row>
    <row r="105" spans="1:8" x14ac:dyDescent="0.25">
      <c r="A105" s="1" t="s">
        <v>213</v>
      </c>
      <c r="B105" s="1" t="s">
        <v>214</v>
      </c>
      <c r="C105" s="1" t="s">
        <v>2697</v>
      </c>
      <c r="D105" s="1" t="s">
        <v>2699</v>
      </c>
      <c r="E105">
        <v>29999</v>
      </c>
      <c r="F105">
        <v>0.27</v>
      </c>
      <c r="G105">
        <v>4.2</v>
      </c>
      <c r="H105">
        <v>32840</v>
      </c>
    </row>
    <row r="106" spans="1:8" x14ac:dyDescent="0.25">
      <c r="A106" s="1" t="s">
        <v>215</v>
      </c>
      <c r="B106" s="1" t="s">
        <v>216</v>
      </c>
      <c r="C106" s="1" t="s">
        <v>2694</v>
      </c>
      <c r="D106" s="1" t="s">
        <v>2695</v>
      </c>
      <c r="E106">
        <v>999</v>
      </c>
      <c r="F106">
        <v>0.65</v>
      </c>
      <c r="G106">
        <v>4.2</v>
      </c>
      <c r="H106">
        <v>13120</v>
      </c>
    </row>
    <row r="107" spans="1:8" x14ac:dyDescent="0.25">
      <c r="A107" s="1" t="s">
        <v>217</v>
      </c>
      <c r="B107" s="1" t="s">
        <v>218</v>
      </c>
      <c r="C107" s="1" t="s">
        <v>2694</v>
      </c>
      <c r="D107" s="1" t="s">
        <v>2695</v>
      </c>
      <c r="E107">
        <v>999</v>
      </c>
      <c r="F107">
        <v>0.6</v>
      </c>
      <c r="G107">
        <v>4.3</v>
      </c>
      <c r="H107">
        <v>2806</v>
      </c>
    </row>
    <row r="108" spans="1:8" x14ac:dyDescent="0.25">
      <c r="A108" s="1" t="s">
        <v>219</v>
      </c>
      <c r="B108" s="1" t="s">
        <v>220</v>
      </c>
      <c r="C108" s="1" t="s">
        <v>2694</v>
      </c>
      <c r="D108" s="1" t="s">
        <v>2695</v>
      </c>
      <c r="E108">
        <v>1299</v>
      </c>
      <c r="F108">
        <v>0.65</v>
      </c>
      <c r="G108">
        <v>4.2</v>
      </c>
      <c r="H108">
        <v>24269</v>
      </c>
    </row>
    <row r="109" spans="1:8" x14ac:dyDescent="0.25">
      <c r="A109" s="1" t="s">
        <v>221</v>
      </c>
      <c r="B109" s="1" t="s">
        <v>222</v>
      </c>
      <c r="C109" s="1" t="s">
        <v>2694</v>
      </c>
      <c r="D109" s="1" t="s">
        <v>2695</v>
      </c>
      <c r="E109">
        <v>999</v>
      </c>
      <c r="F109">
        <v>0.7</v>
      </c>
      <c r="G109">
        <v>4.3</v>
      </c>
      <c r="H109">
        <v>766</v>
      </c>
    </row>
    <row r="110" spans="1:8" x14ac:dyDescent="0.25">
      <c r="A110" s="1" t="s">
        <v>223</v>
      </c>
      <c r="B110" s="1" t="s">
        <v>224</v>
      </c>
      <c r="C110" s="1" t="s">
        <v>2697</v>
      </c>
      <c r="D110" s="1" t="s">
        <v>2699</v>
      </c>
      <c r="E110">
        <v>65000</v>
      </c>
      <c r="F110">
        <v>0.42</v>
      </c>
      <c r="G110">
        <v>4.3</v>
      </c>
      <c r="H110">
        <v>3587</v>
      </c>
    </row>
    <row r="111" spans="1:8" x14ac:dyDescent="0.25">
      <c r="A111" s="1" t="s">
        <v>225</v>
      </c>
      <c r="B111" s="1" t="s">
        <v>226</v>
      </c>
      <c r="C111" s="1" t="s">
        <v>2694</v>
      </c>
      <c r="D111" s="1" t="s">
        <v>2695</v>
      </c>
      <c r="E111">
        <v>800</v>
      </c>
      <c r="F111">
        <v>0.88</v>
      </c>
      <c r="G111">
        <v>3.9</v>
      </c>
      <c r="H111">
        <v>24871</v>
      </c>
    </row>
    <row r="112" spans="1:8" x14ac:dyDescent="0.25">
      <c r="A112" s="1" t="s">
        <v>227</v>
      </c>
      <c r="B112" s="1" t="s">
        <v>228</v>
      </c>
      <c r="C112" s="1" t="s">
        <v>2697</v>
      </c>
      <c r="D112" s="1" t="s">
        <v>2701</v>
      </c>
      <c r="E112">
        <v>20000</v>
      </c>
      <c r="F112">
        <v>0.63</v>
      </c>
      <c r="G112">
        <v>4.0999999999999996</v>
      </c>
      <c r="H112">
        <v>2581</v>
      </c>
    </row>
    <row r="113" spans="1:8" x14ac:dyDescent="0.25">
      <c r="A113" s="1" t="s">
        <v>229</v>
      </c>
      <c r="B113" s="1" t="s">
        <v>230</v>
      </c>
      <c r="C113" s="1" t="s">
        <v>2694</v>
      </c>
      <c r="D113" s="1" t="s">
        <v>2695</v>
      </c>
      <c r="E113">
        <v>999</v>
      </c>
      <c r="F113">
        <v>0.73</v>
      </c>
      <c r="G113">
        <v>4.3</v>
      </c>
      <c r="H113">
        <v>20850</v>
      </c>
    </row>
    <row r="114" spans="1:8" x14ac:dyDescent="0.25">
      <c r="A114" s="1" t="s">
        <v>231</v>
      </c>
      <c r="B114" s="1" t="s">
        <v>232</v>
      </c>
      <c r="C114" s="1" t="s">
        <v>2697</v>
      </c>
      <c r="D114" s="1" t="s">
        <v>2699</v>
      </c>
      <c r="E114">
        <v>23990</v>
      </c>
      <c r="F114">
        <v>0.33</v>
      </c>
      <c r="G114">
        <v>4.3</v>
      </c>
      <c r="H114">
        <v>1035</v>
      </c>
    </row>
    <row r="115" spans="1:8" x14ac:dyDescent="0.25">
      <c r="A115" s="1" t="s">
        <v>233</v>
      </c>
      <c r="B115" s="1" t="s">
        <v>234</v>
      </c>
      <c r="C115" s="1" t="s">
        <v>2694</v>
      </c>
      <c r="D115" s="1" t="s">
        <v>2695</v>
      </c>
      <c r="E115">
        <v>999</v>
      </c>
      <c r="F115">
        <v>0.6</v>
      </c>
      <c r="G115">
        <v>4.0999999999999996</v>
      </c>
      <c r="H115">
        <v>1780</v>
      </c>
    </row>
    <row r="116" spans="1:8" x14ac:dyDescent="0.25">
      <c r="A116" s="1" t="s">
        <v>235</v>
      </c>
      <c r="B116" s="1" t="s">
        <v>236</v>
      </c>
      <c r="C116" s="1" t="s">
        <v>2697</v>
      </c>
      <c r="D116" s="1" t="s">
        <v>2700</v>
      </c>
      <c r="E116">
        <v>1999</v>
      </c>
      <c r="F116">
        <v>0.8</v>
      </c>
      <c r="G116">
        <v>4.5</v>
      </c>
      <c r="H116">
        <v>505</v>
      </c>
    </row>
    <row r="117" spans="1:8" x14ac:dyDescent="0.25">
      <c r="A117" s="1" t="s">
        <v>237</v>
      </c>
      <c r="B117" s="1" t="s">
        <v>238</v>
      </c>
      <c r="C117" s="1" t="s">
        <v>2694</v>
      </c>
      <c r="D117" s="1" t="s">
        <v>2695</v>
      </c>
      <c r="E117">
        <v>399</v>
      </c>
      <c r="F117">
        <v>0.47</v>
      </c>
      <c r="G117">
        <v>4.0999999999999996</v>
      </c>
      <c r="H117">
        <v>1717</v>
      </c>
    </row>
    <row r="118" spans="1:8" x14ac:dyDescent="0.25">
      <c r="A118" s="1" t="s">
        <v>239</v>
      </c>
      <c r="B118" s="1" t="s">
        <v>240</v>
      </c>
      <c r="C118" s="1" t="s">
        <v>2697</v>
      </c>
      <c r="D118" s="1" t="s">
        <v>2700</v>
      </c>
      <c r="E118">
        <v>1999</v>
      </c>
      <c r="F118">
        <v>0.35</v>
      </c>
      <c r="G118">
        <v>3.6</v>
      </c>
      <c r="H118">
        <v>590</v>
      </c>
    </row>
    <row r="119" spans="1:8" x14ac:dyDescent="0.25">
      <c r="A119" s="1" t="s">
        <v>241</v>
      </c>
      <c r="B119" s="1" t="s">
        <v>242</v>
      </c>
      <c r="C119" s="1" t="s">
        <v>2694</v>
      </c>
      <c r="D119" s="1" t="s">
        <v>2695</v>
      </c>
      <c r="E119">
        <v>999</v>
      </c>
      <c r="F119">
        <v>0.65</v>
      </c>
      <c r="G119">
        <v>3.5</v>
      </c>
      <c r="H119">
        <v>1121</v>
      </c>
    </row>
    <row r="120" spans="1:8" x14ac:dyDescent="0.25">
      <c r="A120" s="1" t="s">
        <v>243</v>
      </c>
      <c r="B120" s="1" t="s">
        <v>244</v>
      </c>
      <c r="C120" s="1" t="s">
        <v>2694</v>
      </c>
      <c r="D120" s="1" t="s">
        <v>2695</v>
      </c>
      <c r="E120">
        <v>999</v>
      </c>
      <c r="F120">
        <v>0.85</v>
      </c>
      <c r="G120">
        <v>4</v>
      </c>
      <c r="H120">
        <v>1313</v>
      </c>
    </row>
    <row r="121" spans="1:8" x14ac:dyDescent="0.25">
      <c r="A121" s="1" t="s">
        <v>245</v>
      </c>
      <c r="B121" s="1" t="s">
        <v>246</v>
      </c>
      <c r="C121" s="1" t="s">
        <v>2694</v>
      </c>
      <c r="D121" s="1" t="s">
        <v>2695</v>
      </c>
      <c r="E121">
        <v>899</v>
      </c>
      <c r="F121">
        <v>0.75</v>
      </c>
      <c r="G121">
        <v>3.8</v>
      </c>
      <c r="H121">
        <v>132</v>
      </c>
    </row>
    <row r="122" spans="1:8" x14ac:dyDescent="0.25">
      <c r="A122" s="1" t="s">
        <v>247</v>
      </c>
      <c r="B122" s="1" t="s">
        <v>248</v>
      </c>
      <c r="C122" s="1" t="s">
        <v>2694</v>
      </c>
      <c r="D122" s="1" t="s">
        <v>2695</v>
      </c>
      <c r="E122">
        <v>1999</v>
      </c>
      <c r="F122">
        <v>0.2</v>
      </c>
      <c r="G122">
        <v>4.4000000000000004</v>
      </c>
      <c r="H122">
        <v>1951</v>
      </c>
    </row>
    <row r="123" spans="1:8" x14ac:dyDescent="0.25">
      <c r="A123" s="1" t="s">
        <v>249</v>
      </c>
      <c r="B123" s="1" t="s">
        <v>250</v>
      </c>
      <c r="C123" s="1" t="s">
        <v>2697</v>
      </c>
      <c r="D123" s="1" t="s">
        <v>2700</v>
      </c>
      <c r="E123">
        <v>3999</v>
      </c>
      <c r="F123">
        <v>0.63</v>
      </c>
      <c r="G123">
        <v>3.7</v>
      </c>
      <c r="H123">
        <v>37</v>
      </c>
    </row>
    <row r="124" spans="1:8" x14ac:dyDescent="0.25">
      <c r="A124" s="1" t="s">
        <v>251</v>
      </c>
      <c r="B124" s="1" t="s">
        <v>252</v>
      </c>
      <c r="C124" s="1" t="s">
        <v>2697</v>
      </c>
      <c r="D124" s="1" t="s">
        <v>2699</v>
      </c>
      <c r="E124">
        <v>15999</v>
      </c>
      <c r="F124">
        <v>0.47</v>
      </c>
      <c r="G124">
        <v>4.3</v>
      </c>
      <c r="H124">
        <v>592</v>
      </c>
    </row>
    <row r="125" spans="1:8" x14ac:dyDescent="0.25">
      <c r="A125" s="1" t="s">
        <v>253</v>
      </c>
      <c r="B125" s="1" t="s">
        <v>254</v>
      </c>
      <c r="C125" s="1" t="s">
        <v>2697</v>
      </c>
      <c r="D125" s="1" t="s">
        <v>2699</v>
      </c>
      <c r="E125">
        <v>44990</v>
      </c>
      <c r="F125">
        <v>0.53</v>
      </c>
      <c r="G125">
        <v>4.0999999999999996</v>
      </c>
      <c r="H125">
        <v>1259</v>
      </c>
    </row>
    <row r="126" spans="1:8" x14ac:dyDescent="0.25">
      <c r="A126" s="1" t="s">
        <v>255</v>
      </c>
      <c r="B126" s="1" t="s">
        <v>256</v>
      </c>
      <c r="C126" s="1" t="s">
        <v>2697</v>
      </c>
      <c r="D126" s="1" t="s">
        <v>2699</v>
      </c>
      <c r="E126">
        <v>44999</v>
      </c>
      <c r="F126">
        <v>0.27</v>
      </c>
      <c r="G126">
        <v>4.2</v>
      </c>
      <c r="H126">
        <v>45238</v>
      </c>
    </row>
    <row r="127" spans="1:8" x14ac:dyDescent="0.25">
      <c r="A127" s="1" t="s">
        <v>257</v>
      </c>
      <c r="B127" s="1" t="s">
        <v>258</v>
      </c>
      <c r="C127" s="1" t="s">
        <v>2697</v>
      </c>
      <c r="D127" s="1" t="s">
        <v>2698</v>
      </c>
      <c r="E127">
        <v>1700</v>
      </c>
      <c r="F127">
        <v>0.53</v>
      </c>
      <c r="G127">
        <v>4.0999999999999996</v>
      </c>
      <c r="H127">
        <v>28638</v>
      </c>
    </row>
    <row r="128" spans="1:8" x14ac:dyDescent="0.25">
      <c r="A128" s="1" t="s">
        <v>259</v>
      </c>
      <c r="B128" s="1" t="s">
        <v>260</v>
      </c>
      <c r="C128" s="1" t="s">
        <v>2697</v>
      </c>
      <c r="D128" s="1" t="s">
        <v>2698</v>
      </c>
      <c r="E128">
        <v>595</v>
      </c>
      <c r="F128">
        <v>0.62</v>
      </c>
      <c r="G128">
        <v>4.3</v>
      </c>
      <c r="H128">
        <v>12835</v>
      </c>
    </row>
    <row r="129" spans="1:8" x14ac:dyDescent="0.25">
      <c r="A129" s="1" t="s">
        <v>261</v>
      </c>
      <c r="B129" s="1" t="s">
        <v>262</v>
      </c>
      <c r="C129" s="1" t="s">
        <v>2697</v>
      </c>
      <c r="D129" s="1" t="s">
        <v>2699</v>
      </c>
      <c r="E129">
        <v>27990</v>
      </c>
      <c r="F129">
        <v>0.64</v>
      </c>
      <c r="G129">
        <v>4.2</v>
      </c>
      <c r="H129">
        <v>1269</v>
      </c>
    </row>
    <row r="130" spans="1:8" x14ac:dyDescent="0.25">
      <c r="A130" s="1" t="s">
        <v>263</v>
      </c>
      <c r="B130" s="1" t="s">
        <v>264</v>
      </c>
      <c r="C130" s="1" t="s">
        <v>2697</v>
      </c>
      <c r="D130" s="1" t="s">
        <v>2700</v>
      </c>
      <c r="E130">
        <v>599</v>
      </c>
      <c r="F130">
        <v>0.42</v>
      </c>
      <c r="G130">
        <v>4.2</v>
      </c>
      <c r="H130">
        <v>284</v>
      </c>
    </row>
    <row r="131" spans="1:8" x14ac:dyDescent="0.25">
      <c r="A131" s="1" t="s">
        <v>265</v>
      </c>
      <c r="B131" s="1" t="s">
        <v>266</v>
      </c>
      <c r="C131" s="1" t="s">
        <v>2697</v>
      </c>
      <c r="D131" s="1" t="s">
        <v>2703</v>
      </c>
      <c r="E131">
        <v>1200</v>
      </c>
      <c r="F131">
        <v>0.59</v>
      </c>
      <c r="G131">
        <v>4.4000000000000004</v>
      </c>
      <c r="H131">
        <v>69538</v>
      </c>
    </row>
    <row r="132" spans="1:8" x14ac:dyDescent="0.25">
      <c r="A132" s="1" t="s">
        <v>267</v>
      </c>
      <c r="B132" s="1" t="s">
        <v>268</v>
      </c>
      <c r="C132" s="1" t="s">
        <v>2697</v>
      </c>
      <c r="D132" s="1" t="s">
        <v>2699</v>
      </c>
      <c r="E132">
        <v>34990</v>
      </c>
      <c r="F132">
        <v>0.31</v>
      </c>
      <c r="G132">
        <v>4.3</v>
      </c>
      <c r="H132">
        <v>4703</v>
      </c>
    </row>
    <row r="133" spans="1:8" x14ac:dyDescent="0.25">
      <c r="A133" s="1" t="s">
        <v>269</v>
      </c>
      <c r="B133" s="1" t="s">
        <v>270</v>
      </c>
      <c r="C133" s="1" t="s">
        <v>2694</v>
      </c>
      <c r="D133" s="1" t="s">
        <v>2695</v>
      </c>
      <c r="E133">
        <v>999</v>
      </c>
      <c r="F133">
        <v>0.6</v>
      </c>
      <c r="G133">
        <v>4.3</v>
      </c>
      <c r="H133">
        <v>2806</v>
      </c>
    </row>
    <row r="134" spans="1:8" x14ac:dyDescent="0.25">
      <c r="A134" s="1" t="s">
        <v>271</v>
      </c>
      <c r="B134" s="1" t="s">
        <v>272</v>
      </c>
      <c r="C134" s="1" t="s">
        <v>2697</v>
      </c>
      <c r="D134" s="1" t="s">
        <v>2704</v>
      </c>
      <c r="E134">
        <v>1299</v>
      </c>
      <c r="F134">
        <v>0.73</v>
      </c>
      <c r="G134">
        <v>4</v>
      </c>
      <c r="H134">
        <v>3295</v>
      </c>
    </row>
    <row r="135" spans="1:8" x14ac:dyDescent="0.25">
      <c r="A135" s="1" t="s">
        <v>273</v>
      </c>
      <c r="B135" s="1" t="s">
        <v>274</v>
      </c>
      <c r="C135" s="1" t="s">
        <v>2694</v>
      </c>
      <c r="D135" s="1" t="s">
        <v>2695</v>
      </c>
      <c r="E135">
        <v>299</v>
      </c>
      <c r="F135">
        <v>0.4</v>
      </c>
      <c r="G135">
        <v>3.9</v>
      </c>
      <c r="H135">
        <v>81</v>
      </c>
    </row>
    <row r="136" spans="1:8" x14ac:dyDescent="0.25">
      <c r="A136" s="1" t="s">
        <v>275</v>
      </c>
      <c r="B136" s="1" t="s">
        <v>276</v>
      </c>
      <c r="C136" s="1" t="s">
        <v>2694</v>
      </c>
      <c r="D136" s="1" t="s">
        <v>2695</v>
      </c>
      <c r="E136">
        <v>1500</v>
      </c>
      <c r="F136">
        <v>0.54</v>
      </c>
      <c r="G136">
        <v>4.2</v>
      </c>
      <c r="H136">
        <v>42301</v>
      </c>
    </row>
    <row r="137" spans="1:8" x14ac:dyDescent="0.25">
      <c r="A137" s="1" t="s">
        <v>277</v>
      </c>
      <c r="B137" s="1" t="s">
        <v>278</v>
      </c>
      <c r="C137" s="1" t="s">
        <v>2697</v>
      </c>
      <c r="D137" s="1" t="s">
        <v>2699</v>
      </c>
      <c r="E137">
        <v>49990</v>
      </c>
      <c r="F137">
        <v>0.38</v>
      </c>
      <c r="G137">
        <v>4.3</v>
      </c>
      <c r="H137">
        <v>1376</v>
      </c>
    </row>
    <row r="138" spans="1:8" x14ac:dyDescent="0.25">
      <c r="A138" s="1" t="s">
        <v>279</v>
      </c>
      <c r="B138" s="1" t="s">
        <v>280</v>
      </c>
      <c r="C138" s="1" t="s">
        <v>2694</v>
      </c>
      <c r="D138" s="1" t="s">
        <v>2695</v>
      </c>
      <c r="E138">
        <v>931</v>
      </c>
      <c r="F138">
        <v>0.73</v>
      </c>
      <c r="G138">
        <v>3.9</v>
      </c>
      <c r="H138">
        <v>1075</v>
      </c>
    </row>
    <row r="139" spans="1:8" x14ac:dyDescent="0.25">
      <c r="A139" s="1" t="s">
        <v>281</v>
      </c>
      <c r="B139" s="1" t="s">
        <v>282</v>
      </c>
      <c r="C139" s="1" t="s">
        <v>2697</v>
      </c>
      <c r="D139" s="1" t="s">
        <v>2698</v>
      </c>
      <c r="E139">
        <v>2399</v>
      </c>
      <c r="F139">
        <v>0.57999999999999996</v>
      </c>
      <c r="G139">
        <v>4.5999999999999996</v>
      </c>
      <c r="H139">
        <v>3664</v>
      </c>
    </row>
    <row r="140" spans="1:8" x14ac:dyDescent="0.25">
      <c r="A140" s="1" t="s">
        <v>283</v>
      </c>
      <c r="B140" s="1" t="s">
        <v>284</v>
      </c>
      <c r="C140" s="1" t="s">
        <v>2697</v>
      </c>
      <c r="D140" s="1" t="s">
        <v>2700</v>
      </c>
      <c r="E140">
        <v>399</v>
      </c>
      <c r="F140">
        <v>0</v>
      </c>
      <c r="G140">
        <v>3.9</v>
      </c>
      <c r="H140">
        <v>1951</v>
      </c>
    </row>
    <row r="141" spans="1:8" x14ac:dyDescent="0.25">
      <c r="A141" s="1" t="s">
        <v>285</v>
      </c>
      <c r="B141" s="1" t="s">
        <v>286</v>
      </c>
      <c r="C141" s="1" t="s">
        <v>2694</v>
      </c>
      <c r="D141" s="1" t="s">
        <v>2695</v>
      </c>
      <c r="E141">
        <v>699</v>
      </c>
      <c r="F141">
        <v>0.5</v>
      </c>
      <c r="G141">
        <v>4.3</v>
      </c>
      <c r="H141">
        <v>20850</v>
      </c>
    </row>
    <row r="142" spans="1:8" x14ac:dyDescent="0.25">
      <c r="A142" s="1" t="s">
        <v>287</v>
      </c>
      <c r="B142" s="1" t="s">
        <v>288</v>
      </c>
      <c r="C142" s="1" t="s">
        <v>2694</v>
      </c>
      <c r="D142" s="1" t="s">
        <v>2695</v>
      </c>
      <c r="E142">
        <v>1099</v>
      </c>
      <c r="F142">
        <v>0.64</v>
      </c>
      <c r="G142">
        <v>4.0999999999999996</v>
      </c>
      <c r="H142">
        <v>2685</v>
      </c>
    </row>
    <row r="143" spans="1:8" x14ac:dyDescent="0.25">
      <c r="A143" s="1" t="s">
        <v>289</v>
      </c>
      <c r="B143" s="1" t="s">
        <v>290</v>
      </c>
      <c r="C143" s="1" t="s">
        <v>2694</v>
      </c>
      <c r="D143" s="1" t="s">
        <v>2696</v>
      </c>
      <c r="E143">
        <v>2999</v>
      </c>
      <c r="F143">
        <v>0.43</v>
      </c>
      <c r="G143">
        <v>4.4000000000000004</v>
      </c>
      <c r="H143">
        <v>24780</v>
      </c>
    </row>
    <row r="144" spans="1:8" x14ac:dyDescent="0.25">
      <c r="A144" s="1" t="s">
        <v>291</v>
      </c>
      <c r="B144" s="1" t="s">
        <v>292</v>
      </c>
      <c r="C144" s="1" t="s">
        <v>2697</v>
      </c>
      <c r="D144" s="1" t="s">
        <v>2700</v>
      </c>
      <c r="E144">
        <v>1099</v>
      </c>
      <c r="F144">
        <v>0.4</v>
      </c>
      <c r="G144">
        <v>3.2</v>
      </c>
      <c r="H144">
        <v>285</v>
      </c>
    </row>
    <row r="145" spans="1:8" x14ac:dyDescent="0.25">
      <c r="A145" s="1" t="s">
        <v>293</v>
      </c>
      <c r="B145" s="1" t="s">
        <v>294</v>
      </c>
      <c r="C145" s="1" t="s">
        <v>2694</v>
      </c>
      <c r="D145" s="1" t="s">
        <v>2696</v>
      </c>
      <c r="E145">
        <v>1339</v>
      </c>
      <c r="F145">
        <v>0.44</v>
      </c>
      <c r="G145">
        <v>4.2</v>
      </c>
      <c r="H145">
        <v>179692</v>
      </c>
    </row>
    <row r="146" spans="1:8" x14ac:dyDescent="0.25">
      <c r="A146" s="1" t="s">
        <v>295</v>
      </c>
      <c r="B146" s="1" t="s">
        <v>296</v>
      </c>
      <c r="C146" s="1" t="s">
        <v>2697</v>
      </c>
      <c r="D146" s="1" t="s">
        <v>2699</v>
      </c>
      <c r="E146">
        <v>12999</v>
      </c>
      <c r="F146">
        <v>0.23</v>
      </c>
      <c r="G146">
        <v>4.2</v>
      </c>
      <c r="H146">
        <v>6088</v>
      </c>
    </row>
    <row r="147" spans="1:8" x14ac:dyDescent="0.25">
      <c r="A147" s="1" t="s">
        <v>297</v>
      </c>
      <c r="B147" s="1" t="s">
        <v>298</v>
      </c>
      <c r="C147" s="1" t="s">
        <v>2697</v>
      </c>
      <c r="D147" s="1" t="s">
        <v>2700</v>
      </c>
      <c r="E147">
        <v>499</v>
      </c>
      <c r="F147">
        <v>0.61</v>
      </c>
      <c r="G147">
        <v>3.7</v>
      </c>
      <c r="H147">
        <v>1383</v>
      </c>
    </row>
    <row r="148" spans="1:8" x14ac:dyDescent="0.25">
      <c r="A148" s="1" t="s">
        <v>299</v>
      </c>
      <c r="B148" s="1" t="s">
        <v>300</v>
      </c>
      <c r="C148" s="1" t="s">
        <v>2694</v>
      </c>
      <c r="D148" s="1" t="s">
        <v>2695</v>
      </c>
      <c r="E148">
        <v>2100</v>
      </c>
      <c r="F148">
        <v>0.52</v>
      </c>
      <c r="G148">
        <v>4.5</v>
      </c>
      <c r="H148">
        <v>5492</v>
      </c>
    </row>
    <row r="149" spans="1:8" x14ac:dyDescent="0.25">
      <c r="A149" s="1" t="s">
        <v>301</v>
      </c>
      <c r="B149" s="1" t="s">
        <v>302</v>
      </c>
      <c r="C149" s="1" t="s">
        <v>2694</v>
      </c>
      <c r="D149" s="1" t="s">
        <v>2695</v>
      </c>
      <c r="E149">
        <v>899</v>
      </c>
      <c r="F149">
        <v>0.44</v>
      </c>
      <c r="G149">
        <v>4.2</v>
      </c>
      <c r="H149">
        <v>919</v>
      </c>
    </row>
    <row r="150" spans="1:8" x14ac:dyDescent="0.25">
      <c r="A150" s="1" t="s">
        <v>303</v>
      </c>
      <c r="B150" s="1" t="s">
        <v>304</v>
      </c>
      <c r="C150" s="1" t="s">
        <v>2697</v>
      </c>
      <c r="D150" s="1" t="s">
        <v>2705</v>
      </c>
      <c r="E150">
        <v>599</v>
      </c>
      <c r="F150">
        <v>0.31</v>
      </c>
      <c r="G150">
        <v>4.2</v>
      </c>
      <c r="H150">
        <v>30023</v>
      </c>
    </row>
    <row r="151" spans="1:8" x14ac:dyDescent="0.25">
      <c r="A151" s="1" t="s">
        <v>305</v>
      </c>
      <c r="B151" s="1" t="s">
        <v>306</v>
      </c>
      <c r="C151" s="1" t="s">
        <v>2694</v>
      </c>
      <c r="D151" s="1" t="s">
        <v>2695</v>
      </c>
      <c r="E151">
        <v>699</v>
      </c>
      <c r="F151">
        <v>0.47</v>
      </c>
      <c r="G151">
        <v>4.2</v>
      </c>
      <c r="H151">
        <v>387</v>
      </c>
    </row>
    <row r="152" spans="1:8" x14ac:dyDescent="0.25">
      <c r="A152" s="1" t="s">
        <v>307</v>
      </c>
      <c r="B152" s="1" t="s">
        <v>308</v>
      </c>
      <c r="C152" s="1" t="s">
        <v>2697</v>
      </c>
      <c r="D152" s="1" t="s">
        <v>2699</v>
      </c>
      <c r="E152">
        <v>65000</v>
      </c>
      <c r="F152">
        <v>0.54</v>
      </c>
      <c r="G152">
        <v>4.0999999999999996</v>
      </c>
      <c r="H152">
        <v>211</v>
      </c>
    </row>
    <row r="153" spans="1:8" x14ac:dyDescent="0.25">
      <c r="A153" s="1" t="s">
        <v>309</v>
      </c>
      <c r="B153" s="1" t="s">
        <v>310</v>
      </c>
      <c r="C153" s="1" t="s">
        <v>2694</v>
      </c>
      <c r="D153" s="1" t="s">
        <v>2695</v>
      </c>
      <c r="E153">
        <v>1099</v>
      </c>
      <c r="F153">
        <v>0.69</v>
      </c>
      <c r="G153">
        <v>4.3</v>
      </c>
      <c r="H153">
        <v>974</v>
      </c>
    </row>
    <row r="154" spans="1:8" x14ac:dyDescent="0.25">
      <c r="A154" s="1" t="s">
        <v>311</v>
      </c>
      <c r="B154" s="1" t="s">
        <v>312</v>
      </c>
      <c r="C154" s="1" t="s">
        <v>2697</v>
      </c>
      <c r="D154" s="1" t="s">
        <v>2699</v>
      </c>
      <c r="E154">
        <v>20900</v>
      </c>
      <c r="F154">
        <v>0.26</v>
      </c>
      <c r="G154">
        <v>4.3</v>
      </c>
      <c r="H154">
        <v>16299</v>
      </c>
    </row>
    <row r="155" spans="1:8" x14ac:dyDescent="0.25">
      <c r="A155" s="1" t="s">
        <v>313</v>
      </c>
      <c r="B155" s="1" t="s">
        <v>314</v>
      </c>
      <c r="C155" s="1" t="s">
        <v>2694</v>
      </c>
      <c r="D155" s="1" t="s">
        <v>2695</v>
      </c>
      <c r="E155">
        <v>1299</v>
      </c>
      <c r="F155">
        <v>0.62</v>
      </c>
      <c r="G155">
        <v>4.3</v>
      </c>
      <c r="H155">
        <v>30411</v>
      </c>
    </row>
    <row r="156" spans="1:8" x14ac:dyDescent="0.25">
      <c r="A156" s="1" t="s">
        <v>315</v>
      </c>
      <c r="B156" s="1" t="s">
        <v>316</v>
      </c>
      <c r="C156" s="1" t="s">
        <v>2694</v>
      </c>
      <c r="D156" s="1" t="s">
        <v>2696</v>
      </c>
      <c r="E156">
        <v>399</v>
      </c>
      <c r="F156">
        <v>0.38</v>
      </c>
      <c r="G156">
        <v>3.4</v>
      </c>
      <c r="H156">
        <v>4642</v>
      </c>
    </row>
    <row r="157" spans="1:8" x14ac:dyDescent="0.25">
      <c r="A157" s="1" t="s">
        <v>317</v>
      </c>
      <c r="B157" s="1" t="s">
        <v>318</v>
      </c>
      <c r="C157" s="1" t="s">
        <v>2697</v>
      </c>
      <c r="D157" s="1" t="s">
        <v>2700</v>
      </c>
      <c r="E157">
        <v>799</v>
      </c>
      <c r="F157">
        <v>0.5</v>
      </c>
      <c r="G157">
        <v>4.3</v>
      </c>
      <c r="H157">
        <v>12</v>
      </c>
    </row>
    <row r="158" spans="1:8" x14ac:dyDescent="0.25">
      <c r="A158" s="1" t="s">
        <v>319</v>
      </c>
      <c r="B158" s="1" t="s">
        <v>320</v>
      </c>
      <c r="C158" s="1" t="s">
        <v>2694</v>
      </c>
      <c r="D158" s="1" t="s">
        <v>2695</v>
      </c>
      <c r="E158">
        <v>1999</v>
      </c>
      <c r="F158">
        <v>0.25</v>
      </c>
      <c r="G158">
        <v>4.4000000000000004</v>
      </c>
      <c r="H158">
        <v>1951</v>
      </c>
    </row>
    <row r="159" spans="1:8" x14ac:dyDescent="0.25">
      <c r="A159" s="1" t="s">
        <v>321</v>
      </c>
      <c r="B159" s="1" t="s">
        <v>322</v>
      </c>
      <c r="C159" s="1" t="s">
        <v>2697</v>
      </c>
      <c r="D159" s="1" t="s">
        <v>2706</v>
      </c>
      <c r="E159">
        <v>15990</v>
      </c>
      <c r="F159">
        <v>0.41</v>
      </c>
      <c r="G159">
        <v>3.9</v>
      </c>
      <c r="H159">
        <v>10480</v>
      </c>
    </row>
    <row r="160" spans="1:8" x14ac:dyDescent="0.25">
      <c r="A160" s="1" t="s">
        <v>323</v>
      </c>
      <c r="B160" s="1" t="s">
        <v>324</v>
      </c>
      <c r="C160" s="1" t="s">
        <v>2697</v>
      </c>
      <c r="D160" s="1" t="s">
        <v>2698</v>
      </c>
      <c r="E160">
        <v>1499</v>
      </c>
      <c r="F160">
        <v>0.57999999999999996</v>
      </c>
      <c r="G160">
        <v>4.0999999999999996</v>
      </c>
      <c r="H160">
        <v>24</v>
      </c>
    </row>
    <row r="161" spans="1:8" x14ac:dyDescent="0.25">
      <c r="A161" s="1" t="s">
        <v>325</v>
      </c>
      <c r="B161" s="1" t="s">
        <v>326</v>
      </c>
      <c r="C161" s="1" t="s">
        <v>2697</v>
      </c>
      <c r="D161" s="1" t="s">
        <v>2700</v>
      </c>
      <c r="E161">
        <v>899</v>
      </c>
      <c r="F161">
        <v>0.56000000000000005</v>
      </c>
      <c r="G161">
        <v>3.9</v>
      </c>
      <c r="H161">
        <v>254</v>
      </c>
    </row>
    <row r="162" spans="1:8" x14ac:dyDescent="0.25">
      <c r="A162" s="1" t="s">
        <v>327</v>
      </c>
      <c r="B162" s="1" t="s">
        <v>328</v>
      </c>
      <c r="C162" s="1" t="s">
        <v>2697</v>
      </c>
      <c r="D162" s="1" t="s">
        <v>2705</v>
      </c>
      <c r="E162">
        <v>1600</v>
      </c>
      <c r="F162">
        <v>0.32</v>
      </c>
      <c r="G162">
        <v>4</v>
      </c>
      <c r="H162">
        <v>3565</v>
      </c>
    </row>
    <row r="163" spans="1:8" x14ac:dyDescent="0.25">
      <c r="A163" s="1" t="s">
        <v>329</v>
      </c>
      <c r="B163" s="1" t="s">
        <v>330</v>
      </c>
      <c r="C163" s="1" t="s">
        <v>2694</v>
      </c>
      <c r="D163" s="1" t="s">
        <v>2695</v>
      </c>
      <c r="E163">
        <v>999</v>
      </c>
      <c r="F163">
        <v>0.66</v>
      </c>
      <c r="G163">
        <v>4.3</v>
      </c>
      <c r="H163">
        <v>6255</v>
      </c>
    </row>
    <row r="164" spans="1:8" x14ac:dyDescent="0.25">
      <c r="A164" s="1" t="s">
        <v>331</v>
      </c>
      <c r="B164" s="1" t="s">
        <v>332</v>
      </c>
      <c r="C164" s="1" t="s">
        <v>2694</v>
      </c>
      <c r="D164" s="1" t="s">
        <v>2695</v>
      </c>
      <c r="E164">
        <v>499</v>
      </c>
      <c r="F164">
        <v>0.7</v>
      </c>
      <c r="G164">
        <v>4</v>
      </c>
      <c r="H164">
        <v>7732</v>
      </c>
    </row>
    <row r="165" spans="1:8" x14ac:dyDescent="0.25">
      <c r="A165" s="1" t="s">
        <v>333</v>
      </c>
      <c r="B165" s="1" t="s">
        <v>334</v>
      </c>
      <c r="C165" s="1" t="s">
        <v>2694</v>
      </c>
      <c r="D165" s="1" t="s">
        <v>2695</v>
      </c>
      <c r="E165">
        <v>399</v>
      </c>
      <c r="F165">
        <v>0.63</v>
      </c>
      <c r="G165">
        <v>3.9</v>
      </c>
      <c r="H165">
        <v>57</v>
      </c>
    </row>
    <row r="166" spans="1:8" x14ac:dyDescent="0.25">
      <c r="A166" s="1" t="s">
        <v>335</v>
      </c>
      <c r="B166" s="1" t="s">
        <v>336</v>
      </c>
      <c r="C166" s="1" t="s">
        <v>2694</v>
      </c>
      <c r="D166" s="1" t="s">
        <v>2695</v>
      </c>
      <c r="E166">
        <v>849</v>
      </c>
      <c r="F166">
        <v>0.28999999999999998</v>
      </c>
      <c r="G166">
        <v>4.5</v>
      </c>
      <c r="H166">
        <v>577</v>
      </c>
    </row>
    <row r="167" spans="1:8" x14ac:dyDescent="0.25">
      <c r="A167" s="1" t="s">
        <v>337</v>
      </c>
      <c r="B167" s="1" t="s">
        <v>338</v>
      </c>
      <c r="C167" s="1" t="s">
        <v>2697</v>
      </c>
      <c r="D167" s="1" t="s">
        <v>2700</v>
      </c>
      <c r="E167">
        <v>1199</v>
      </c>
      <c r="F167">
        <v>0.75</v>
      </c>
      <c r="G167">
        <v>3.9</v>
      </c>
      <c r="H167">
        <v>1193</v>
      </c>
    </row>
    <row r="168" spans="1:8" x14ac:dyDescent="0.25">
      <c r="A168" s="1" t="s">
        <v>339</v>
      </c>
      <c r="B168" s="1" t="s">
        <v>340</v>
      </c>
      <c r="C168" s="1" t="s">
        <v>2694</v>
      </c>
      <c r="D168" s="1" t="s">
        <v>2695</v>
      </c>
      <c r="E168">
        <v>1299</v>
      </c>
      <c r="F168">
        <v>0.69</v>
      </c>
      <c r="G168">
        <v>4.2</v>
      </c>
      <c r="H168">
        <v>13120</v>
      </c>
    </row>
    <row r="169" spans="1:8" x14ac:dyDescent="0.25">
      <c r="A169" s="1" t="s">
        <v>341</v>
      </c>
      <c r="B169" s="1" t="s">
        <v>342</v>
      </c>
      <c r="C169" s="1" t="s">
        <v>2697</v>
      </c>
      <c r="D169" s="1" t="s">
        <v>2700</v>
      </c>
      <c r="E169">
        <v>1999</v>
      </c>
      <c r="F169">
        <v>0.83</v>
      </c>
      <c r="G169">
        <v>4</v>
      </c>
      <c r="H169">
        <v>343</v>
      </c>
    </row>
    <row r="170" spans="1:8" x14ac:dyDescent="0.25">
      <c r="A170" s="1" t="s">
        <v>343</v>
      </c>
      <c r="B170" s="1" t="s">
        <v>344</v>
      </c>
      <c r="C170" s="1" t="s">
        <v>2697</v>
      </c>
      <c r="D170" s="1" t="s">
        <v>2699</v>
      </c>
      <c r="E170">
        <v>22990</v>
      </c>
      <c r="F170">
        <v>0.46</v>
      </c>
      <c r="G170">
        <v>4.3</v>
      </c>
      <c r="H170">
        <v>1611</v>
      </c>
    </row>
    <row r="171" spans="1:8" x14ac:dyDescent="0.25">
      <c r="A171" s="1" t="s">
        <v>345</v>
      </c>
      <c r="B171" s="1" t="s">
        <v>346</v>
      </c>
      <c r="C171" s="1" t="s">
        <v>2694</v>
      </c>
      <c r="D171" s="1" t="s">
        <v>2695</v>
      </c>
      <c r="E171">
        <v>399</v>
      </c>
      <c r="F171">
        <v>0.38</v>
      </c>
      <c r="G171">
        <v>4</v>
      </c>
      <c r="H171">
        <v>6558</v>
      </c>
    </row>
    <row r="172" spans="1:8" x14ac:dyDescent="0.25">
      <c r="A172" s="1" t="s">
        <v>347</v>
      </c>
      <c r="B172" s="1" t="s">
        <v>348</v>
      </c>
      <c r="C172" s="1" t="s">
        <v>2694</v>
      </c>
      <c r="D172" s="1" t="s">
        <v>2696</v>
      </c>
      <c r="E172">
        <v>2499</v>
      </c>
      <c r="F172">
        <v>0.44</v>
      </c>
      <c r="G172">
        <v>4.4000000000000004</v>
      </c>
      <c r="H172">
        <v>23169</v>
      </c>
    </row>
    <row r="173" spans="1:8" x14ac:dyDescent="0.25">
      <c r="A173" s="1" t="s">
        <v>349</v>
      </c>
      <c r="B173" s="1" t="s">
        <v>350</v>
      </c>
      <c r="C173" s="1" t="s">
        <v>2697</v>
      </c>
      <c r="D173" s="1" t="s">
        <v>2699</v>
      </c>
      <c r="E173">
        <v>47990</v>
      </c>
      <c r="F173">
        <v>0.31</v>
      </c>
      <c r="G173">
        <v>4.3</v>
      </c>
      <c r="H173">
        <v>4703</v>
      </c>
    </row>
    <row r="174" spans="1:8" x14ac:dyDescent="0.25">
      <c r="A174" s="1" t="s">
        <v>351</v>
      </c>
      <c r="B174" s="1" t="s">
        <v>352</v>
      </c>
      <c r="C174" s="1" t="s">
        <v>2694</v>
      </c>
      <c r="D174" s="1" t="s">
        <v>2695</v>
      </c>
      <c r="E174">
        <v>399</v>
      </c>
      <c r="F174">
        <v>0.63</v>
      </c>
      <c r="G174">
        <v>4</v>
      </c>
      <c r="H174">
        <v>1423</v>
      </c>
    </row>
    <row r="175" spans="1:8" x14ac:dyDescent="0.25">
      <c r="A175" s="1" t="s">
        <v>353</v>
      </c>
      <c r="B175" s="1" t="s">
        <v>354</v>
      </c>
      <c r="C175" s="1" t="s">
        <v>2694</v>
      </c>
      <c r="D175" s="1" t="s">
        <v>2695</v>
      </c>
      <c r="E175">
        <v>999</v>
      </c>
      <c r="F175">
        <v>0.67</v>
      </c>
      <c r="G175">
        <v>4.3</v>
      </c>
      <c r="H175">
        <v>2651</v>
      </c>
    </row>
    <row r="176" spans="1:8" x14ac:dyDescent="0.25">
      <c r="A176" s="1" t="s">
        <v>355</v>
      </c>
      <c r="B176" s="1" t="s">
        <v>356</v>
      </c>
      <c r="C176" s="1" t="s">
        <v>2694</v>
      </c>
      <c r="D176" s="1" t="s">
        <v>2695</v>
      </c>
      <c r="E176">
        <v>1999</v>
      </c>
      <c r="F176">
        <v>0.8</v>
      </c>
      <c r="G176">
        <v>5</v>
      </c>
      <c r="H176">
        <v>5</v>
      </c>
    </row>
    <row r="177" spans="1:8" x14ac:dyDescent="0.25">
      <c r="A177" s="1" t="s">
        <v>357</v>
      </c>
      <c r="B177" s="1" t="s">
        <v>358</v>
      </c>
      <c r="C177" s="1" t="s">
        <v>2694</v>
      </c>
      <c r="D177" s="1" t="s">
        <v>2696</v>
      </c>
      <c r="E177">
        <v>499</v>
      </c>
      <c r="F177">
        <v>0.6</v>
      </c>
      <c r="G177">
        <v>3.7</v>
      </c>
      <c r="H177">
        <v>612</v>
      </c>
    </row>
    <row r="178" spans="1:8" x14ac:dyDescent="0.25">
      <c r="A178" s="1" t="s">
        <v>359</v>
      </c>
      <c r="B178" s="1" t="s">
        <v>360</v>
      </c>
      <c r="C178" s="1" t="s">
        <v>2694</v>
      </c>
      <c r="D178" s="1" t="s">
        <v>2695</v>
      </c>
      <c r="E178">
        <v>299</v>
      </c>
      <c r="F178">
        <v>0.71</v>
      </c>
      <c r="G178">
        <v>4</v>
      </c>
      <c r="H178">
        <v>9378</v>
      </c>
    </row>
    <row r="179" spans="1:8" x14ac:dyDescent="0.25">
      <c r="A179" s="1" t="s">
        <v>361</v>
      </c>
      <c r="B179" s="1" t="s">
        <v>362</v>
      </c>
      <c r="C179" s="1" t="s">
        <v>2694</v>
      </c>
      <c r="D179" s="1" t="s">
        <v>2695</v>
      </c>
      <c r="E179">
        <v>1099</v>
      </c>
      <c r="F179">
        <v>0.64</v>
      </c>
      <c r="G179">
        <v>4.0999999999999996</v>
      </c>
      <c r="H179">
        <v>2685</v>
      </c>
    </row>
    <row r="180" spans="1:8" x14ac:dyDescent="0.25">
      <c r="A180" s="1" t="s">
        <v>363</v>
      </c>
      <c r="B180" s="1" t="s">
        <v>364</v>
      </c>
      <c r="C180" s="1" t="s">
        <v>2694</v>
      </c>
      <c r="D180" s="1" t="s">
        <v>2695</v>
      </c>
      <c r="E180">
        <v>199</v>
      </c>
      <c r="F180">
        <v>0.71</v>
      </c>
      <c r="G180">
        <v>4</v>
      </c>
      <c r="H180">
        <v>9378</v>
      </c>
    </row>
    <row r="181" spans="1:8" x14ac:dyDescent="0.25">
      <c r="A181" s="1" t="s">
        <v>365</v>
      </c>
      <c r="B181" s="1" t="s">
        <v>366</v>
      </c>
      <c r="C181" s="1" t="s">
        <v>2697</v>
      </c>
      <c r="D181" s="1" t="s">
        <v>2700</v>
      </c>
      <c r="E181">
        <v>1999</v>
      </c>
      <c r="F181">
        <v>0.6</v>
      </c>
      <c r="G181">
        <v>3.3</v>
      </c>
      <c r="H181">
        <v>576</v>
      </c>
    </row>
    <row r="182" spans="1:8" x14ac:dyDescent="0.25">
      <c r="A182" s="1" t="s">
        <v>367</v>
      </c>
      <c r="B182" s="1" t="s">
        <v>368</v>
      </c>
      <c r="C182" s="1" t="s">
        <v>2697</v>
      </c>
      <c r="D182" s="1" t="s">
        <v>2700</v>
      </c>
      <c r="E182">
        <v>499</v>
      </c>
      <c r="F182">
        <v>0.59</v>
      </c>
      <c r="G182">
        <v>3.8</v>
      </c>
      <c r="H182">
        <v>313</v>
      </c>
    </row>
    <row r="183" spans="1:8" x14ac:dyDescent="0.25">
      <c r="A183" s="1" t="s">
        <v>369</v>
      </c>
      <c r="B183" s="1" t="s">
        <v>370</v>
      </c>
      <c r="C183" s="1" t="s">
        <v>2694</v>
      </c>
      <c r="D183" s="1" t="s">
        <v>2695</v>
      </c>
      <c r="E183">
        <v>699</v>
      </c>
      <c r="F183">
        <v>0.56999999999999995</v>
      </c>
      <c r="G183">
        <v>4.0999999999999996</v>
      </c>
      <c r="H183">
        <v>2957</v>
      </c>
    </row>
    <row r="184" spans="1:8" x14ac:dyDescent="0.25">
      <c r="A184" s="1" t="s">
        <v>371</v>
      </c>
      <c r="B184" s="1" t="s">
        <v>372</v>
      </c>
      <c r="C184" s="1" t="s">
        <v>2694</v>
      </c>
      <c r="D184" s="1" t="s">
        <v>2695</v>
      </c>
      <c r="E184">
        <v>999</v>
      </c>
      <c r="F184">
        <v>0.15</v>
      </c>
      <c r="G184">
        <v>4.0999999999999996</v>
      </c>
      <c r="H184">
        <v>6736</v>
      </c>
    </row>
    <row r="185" spans="1:8" x14ac:dyDescent="0.25">
      <c r="A185" s="1" t="s">
        <v>373</v>
      </c>
      <c r="B185" s="1" t="s">
        <v>374</v>
      </c>
      <c r="C185" s="1" t="s">
        <v>2694</v>
      </c>
      <c r="D185" s="1" t="s">
        <v>2695</v>
      </c>
      <c r="E185">
        <v>1999</v>
      </c>
      <c r="F185">
        <v>0.53</v>
      </c>
      <c r="G185">
        <v>4.4000000000000004</v>
      </c>
      <c r="H185">
        <v>13552</v>
      </c>
    </row>
    <row r="186" spans="1:8" x14ac:dyDescent="0.25">
      <c r="A186" s="1" t="s">
        <v>375</v>
      </c>
      <c r="B186" s="1" t="s">
        <v>376</v>
      </c>
      <c r="C186" s="1" t="s">
        <v>2694</v>
      </c>
      <c r="D186" s="1" t="s">
        <v>2695</v>
      </c>
      <c r="E186">
        <v>1200</v>
      </c>
      <c r="F186">
        <v>0.57999999999999996</v>
      </c>
      <c r="G186">
        <v>4.3</v>
      </c>
      <c r="H186">
        <v>5451</v>
      </c>
    </row>
    <row r="187" spans="1:8" x14ac:dyDescent="0.25">
      <c r="A187" s="1" t="s">
        <v>377</v>
      </c>
      <c r="B187" s="1" t="s">
        <v>378</v>
      </c>
      <c r="C187" s="1" t="s">
        <v>2694</v>
      </c>
      <c r="D187" s="1" t="s">
        <v>2695</v>
      </c>
      <c r="E187">
        <v>485</v>
      </c>
      <c r="F187">
        <v>0.38</v>
      </c>
      <c r="G187">
        <v>4.3</v>
      </c>
      <c r="H187">
        <v>10911</v>
      </c>
    </row>
    <row r="188" spans="1:8" x14ac:dyDescent="0.25">
      <c r="A188" s="1" t="s">
        <v>379</v>
      </c>
      <c r="B188" s="1" t="s">
        <v>380</v>
      </c>
      <c r="C188" s="1" t="s">
        <v>2694</v>
      </c>
      <c r="D188" s="1" t="s">
        <v>2695</v>
      </c>
      <c r="E188">
        <v>1999</v>
      </c>
      <c r="F188">
        <v>0.53</v>
      </c>
      <c r="G188">
        <v>4.4000000000000004</v>
      </c>
      <c r="H188">
        <v>13552</v>
      </c>
    </row>
    <row r="189" spans="1:8" x14ac:dyDescent="0.25">
      <c r="A189" s="1" t="s">
        <v>381</v>
      </c>
      <c r="B189" s="1" t="s">
        <v>382</v>
      </c>
      <c r="C189" s="1" t="s">
        <v>2694</v>
      </c>
      <c r="D189" s="1" t="s">
        <v>2695</v>
      </c>
      <c r="E189">
        <v>1099</v>
      </c>
      <c r="F189">
        <v>0.66</v>
      </c>
      <c r="G189">
        <v>4.3</v>
      </c>
      <c r="H189">
        <v>2806</v>
      </c>
    </row>
    <row r="190" spans="1:8" x14ac:dyDescent="0.25">
      <c r="A190" s="1" t="s">
        <v>383</v>
      </c>
      <c r="B190" s="1" t="s">
        <v>384</v>
      </c>
      <c r="C190" s="1" t="s">
        <v>2697</v>
      </c>
      <c r="D190" s="1" t="s">
        <v>2699</v>
      </c>
      <c r="E190">
        <v>18990</v>
      </c>
      <c r="F190">
        <v>0.53</v>
      </c>
      <c r="G190">
        <v>3.9</v>
      </c>
      <c r="H190">
        <v>350</v>
      </c>
    </row>
    <row r="191" spans="1:8" x14ac:dyDescent="0.25">
      <c r="A191" s="1" t="s">
        <v>385</v>
      </c>
      <c r="B191" s="1" t="s">
        <v>386</v>
      </c>
      <c r="C191" s="1" t="s">
        <v>2697</v>
      </c>
      <c r="D191" s="1" t="s">
        <v>2705</v>
      </c>
      <c r="E191">
        <v>1999</v>
      </c>
      <c r="F191">
        <v>0.76</v>
      </c>
      <c r="G191">
        <v>4.2</v>
      </c>
      <c r="H191">
        <v>30023</v>
      </c>
    </row>
    <row r="192" spans="1:8" x14ac:dyDescent="0.25">
      <c r="A192" s="1" t="s">
        <v>387</v>
      </c>
      <c r="B192" s="1" t="s">
        <v>388</v>
      </c>
      <c r="C192" s="1" t="s">
        <v>2697</v>
      </c>
      <c r="D192" s="1" t="s">
        <v>2701</v>
      </c>
      <c r="E192">
        <v>11000</v>
      </c>
      <c r="F192">
        <v>0.48</v>
      </c>
      <c r="G192">
        <v>4.2</v>
      </c>
      <c r="H192">
        <v>4003</v>
      </c>
    </row>
    <row r="193" spans="1:8" x14ac:dyDescent="0.25">
      <c r="A193" s="1" t="s">
        <v>389</v>
      </c>
      <c r="B193" s="1" t="s">
        <v>390</v>
      </c>
      <c r="C193" s="1" t="s">
        <v>2694</v>
      </c>
      <c r="D193" s="1" t="s">
        <v>2695</v>
      </c>
      <c r="E193">
        <v>1999</v>
      </c>
      <c r="F193">
        <v>0.65</v>
      </c>
      <c r="G193">
        <v>4.0999999999999996</v>
      </c>
      <c r="H193">
        <v>178817</v>
      </c>
    </row>
    <row r="194" spans="1:8" x14ac:dyDescent="0.25">
      <c r="A194" s="1" t="s">
        <v>391</v>
      </c>
      <c r="B194" s="1" t="s">
        <v>392</v>
      </c>
      <c r="C194" s="1" t="s">
        <v>2697</v>
      </c>
      <c r="D194" s="1" t="s">
        <v>2699</v>
      </c>
      <c r="E194">
        <v>70900</v>
      </c>
      <c r="F194">
        <v>0.32</v>
      </c>
      <c r="G194">
        <v>4.3</v>
      </c>
      <c r="H194">
        <v>7109</v>
      </c>
    </row>
    <row r="195" spans="1:8" x14ac:dyDescent="0.25">
      <c r="A195" s="1" t="s">
        <v>393</v>
      </c>
      <c r="B195" s="1" t="s">
        <v>394</v>
      </c>
      <c r="C195" s="1" t="s">
        <v>2697</v>
      </c>
      <c r="D195" s="1" t="s">
        <v>2700</v>
      </c>
      <c r="E195">
        <v>1199</v>
      </c>
      <c r="F195">
        <v>0.75</v>
      </c>
      <c r="G195">
        <v>3.7</v>
      </c>
      <c r="H195">
        <v>490</v>
      </c>
    </row>
    <row r="196" spans="1:8" x14ac:dyDescent="0.25">
      <c r="A196" s="1" t="s">
        <v>395</v>
      </c>
      <c r="B196" s="1" t="s">
        <v>396</v>
      </c>
      <c r="C196" s="1" t="s">
        <v>2694</v>
      </c>
      <c r="D196" s="1" t="s">
        <v>2695</v>
      </c>
      <c r="E196">
        <v>599</v>
      </c>
      <c r="F196">
        <v>0.47</v>
      </c>
      <c r="G196">
        <v>4.0999999999999996</v>
      </c>
      <c r="H196">
        <v>491</v>
      </c>
    </row>
    <row r="197" spans="1:8" x14ac:dyDescent="0.25">
      <c r="A197" s="1" t="s">
        <v>397</v>
      </c>
      <c r="B197" s="1" t="s">
        <v>398</v>
      </c>
      <c r="C197" s="1" t="s">
        <v>2694</v>
      </c>
      <c r="D197" s="1" t="s">
        <v>2695</v>
      </c>
      <c r="E197">
        <v>549</v>
      </c>
      <c r="F197">
        <v>0.75</v>
      </c>
      <c r="G197">
        <v>3.9</v>
      </c>
      <c r="H197">
        <v>61</v>
      </c>
    </row>
    <row r="198" spans="1:8" x14ac:dyDescent="0.25">
      <c r="A198" s="1" t="s">
        <v>399</v>
      </c>
      <c r="B198" s="1" t="s">
        <v>400</v>
      </c>
      <c r="C198" s="1" t="s">
        <v>2694</v>
      </c>
      <c r="D198" s="1" t="s">
        <v>2695</v>
      </c>
      <c r="E198">
        <v>249</v>
      </c>
      <c r="F198">
        <v>0.48</v>
      </c>
      <c r="G198">
        <v>4</v>
      </c>
      <c r="H198">
        <v>9378</v>
      </c>
    </row>
    <row r="199" spans="1:8" x14ac:dyDescent="0.25">
      <c r="A199" s="1" t="s">
        <v>401</v>
      </c>
      <c r="B199" s="1" t="s">
        <v>402</v>
      </c>
      <c r="C199" s="1" t="s">
        <v>2697</v>
      </c>
      <c r="D199" s="1" t="s">
        <v>2699</v>
      </c>
      <c r="E199">
        <v>35999</v>
      </c>
      <c r="F199">
        <v>0.31</v>
      </c>
      <c r="G199">
        <v>4.2</v>
      </c>
      <c r="H199">
        <v>32840</v>
      </c>
    </row>
    <row r="200" spans="1:8" x14ac:dyDescent="0.25">
      <c r="A200" s="1" t="s">
        <v>403</v>
      </c>
      <c r="B200" s="1" t="s">
        <v>404</v>
      </c>
      <c r="C200" s="1" t="s">
        <v>2694</v>
      </c>
      <c r="D200" s="1" t="s">
        <v>2695</v>
      </c>
      <c r="E200">
        <v>1699</v>
      </c>
      <c r="F200">
        <v>0.41</v>
      </c>
      <c r="G200">
        <v>4.4000000000000004</v>
      </c>
      <c r="H200">
        <v>7318</v>
      </c>
    </row>
    <row r="201" spans="1:8" x14ac:dyDescent="0.25">
      <c r="A201" s="1" t="s">
        <v>405</v>
      </c>
      <c r="B201" s="1" t="s">
        <v>406</v>
      </c>
      <c r="C201" s="1" t="s">
        <v>2694</v>
      </c>
      <c r="D201" s="1" t="s">
        <v>2695</v>
      </c>
      <c r="E201">
        <v>499</v>
      </c>
      <c r="F201">
        <v>0.55000000000000004</v>
      </c>
      <c r="G201">
        <v>4.0999999999999996</v>
      </c>
      <c r="H201">
        <v>789</v>
      </c>
    </row>
    <row r="202" spans="1:8" x14ac:dyDescent="0.25">
      <c r="A202" s="1" t="s">
        <v>407</v>
      </c>
      <c r="B202" s="1" t="s">
        <v>408</v>
      </c>
      <c r="C202" s="1" t="s">
        <v>2697</v>
      </c>
      <c r="D202" s="1" t="s">
        <v>2700</v>
      </c>
      <c r="E202">
        <v>2999</v>
      </c>
      <c r="F202">
        <v>0.82</v>
      </c>
      <c r="G202">
        <v>4.3</v>
      </c>
      <c r="H202">
        <v>407</v>
      </c>
    </row>
    <row r="203" spans="1:8" x14ac:dyDescent="0.25">
      <c r="A203" s="1" t="s">
        <v>409</v>
      </c>
      <c r="B203" s="1" t="s">
        <v>410</v>
      </c>
      <c r="C203" s="1" t="s">
        <v>2694</v>
      </c>
      <c r="D203" s="1" t="s">
        <v>2695</v>
      </c>
      <c r="E203">
        <v>699</v>
      </c>
      <c r="F203">
        <v>0.63</v>
      </c>
      <c r="G203">
        <v>3.8</v>
      </c>
      <c r="H203">
        <v>2399</v>
      </c>
    </row>
    <row r="204" spans="1:8" x14ac:dyDescent="0.25">
      <c r="A204" s="1" t="s">
        <v>411</v>
      </c>
      <c r="B204" s="1" t="s">
        <v>412</v>
      </c>
      <c r="C204" s="1" t="s">
        <v>2697</v>
      </c>
      <c r="D204" s="1" t="s">
        <v>2700</v>
      </c>
      <c r="E204">
        <v>699</v>
      </c>
      <c r="F204">
        <v>0.66</v>
      </c>
      <c r="G204">
        <v>4.4000000000000004</v>
      </c>
      <c r="H204">
        <v>2640</v>
      </c>
    </row>
    <row r="205" spans="1:8" x14ac:dyDescent="0.25">
      <c r="A205" s="1" t="s">
        <v>413</v>
      </c>
      <c r="B205" s="1" t="s">
        <v>414</v>
      </c>
      <c r="C205" s="1" t="s">
        <v>2697</v>
      </c>
      <c r="D205" s="1" t="s">
        <v>2700</v>
      </c>
      <c r="E205">
        <v>999</v>
      </c>
      <c r="F205">
        <v>0.65</v>
      </c>
      <c r="G205">
        <v>4</v>
      </c>
      <c r="H205">
        <v>839</v>
      </c>
    </row>
    <row r="206" spans="1:8" x14ac:dyDescent="0.25">
      <c r="A206" s="1" t="s">
        <v>415</v>
      </c>
      <c r="B206" s="1" t="s">
        <v>416</v>
      </c>
      <c r="C206" s="1" t="s">
        <v>2697</v>
      </c>
      <c r="D206" s="1" t="s">
        <v>2698</v>
      </c>
      <c r="E206">
        <v>599</v>
      </c>
      <c r="F206">
        <v>0.22</v>
      </c>
      <c r="G206">
        <v>4.4000000000000004</v>
      </c>
      <c r="H206">
        <v>44054</v>
      </c>
    </row>
    <row r="207" spans="1:8" x14ac:dyDescent="0.25">
      <c r="A207" s="1" t="s">
        <v>417</v>
      </c>
      <c r="B207" s="1" t="s">
        <v>418</v>
      </c>
      <c r="C207" s="1" t="s">
        <v>2694</v>
      </c>
      <c r="D207" s="1" t="s">
        <v>2695</v>
      </c>
      <c r="E207">
        <v>599</v>
      </c>
      <c r="F207">
        <v>0.25</v>
      </c>
      <c r="G207">
        <v>4</v>
      </c>
      <c r="H207">
        <v>3231</v>
      </c>
    </row>
    <row r="208" spans="1:8" x14ac:dyDescent="0.25">
      <c r="A208" s="1" t="s">
        <v>419</v>
      </c>
      <c r="B208" s="1" t="s">
        <v>420</v>
      </c>
      <c r="C208" s="1" t="s">
        <v>2697</v>
      </c>
      <c r="D208" s="1" t="s">
        <v>2699</v>
      </c>
      <c r="E208">
        <v>31990</v>
      </c>
      <c r="F208">
        <v>0.63</v>
      </c>
      <c r="G208">
        <v>4.2</v>
      </c>
      <c r="H208">
        <v>64</v>
      </c>
    </row>
    <row r="209" spans="1:8" x14ac:dyDescent="0.25">
      <c r="A209" s="1" t="s">
        <v>421</v>
      </c>
      <c r="B209" s="1" t="s">
        <v>422</v>
      </c>
      <c r="C209" s="1" t="s">
        <v>2694</v>
      </c>
      <c r="D209" s="1" t="s">
        <v>2695</v>
      </c>
      <c r="E209">
        <v>599</v>
      </c>
      <c r="F209">
        <v>0.42</v>
      </c>
      <c r="G209">
        <v>3.9</v>
      </c>
      <c r="H209">
        <v>8314</v>
      </c>
    </row>
    <row r="210" spans="1:8" x14ac:dyDescent="0.25">
      <c r="A210" s="1" t="s">
        <v>423</v>
      </c>
      <c r="B210" s="1" t="s">
        <v>424</v>
      </c>
      <c r="C210" s="1" t="s">
        <v>2694</v>
      </c>
      <c r="D210" s="1" t="s">
        <v>2695</v>
      </c>
      <c r="E210">
        <v>999</v>
      </c>
      <c r="F210">
        <v>0.75</v>
      </c>
      <c r="G210">
        <v>3.7</v>
      </c>
      <c r="H210">
        <v>2249</v>
      </c>
    </row>
    <row r="211" spans="1:8" x14ac:dyDescent="0.25">
      <c r="A211" s="1" t="s">
        <v>425</v>
      </c>
      <c r="B211" s="1" t="s">
        <v>426</v>
      </c>
      <c r="C211" s="1" t="s">
        <v>2697</v>
      </c>
      <c r="D211" s="1" t="s">
        <v>2700</v>
      </c>
      <c r="E211">
        <v>599</v>
      </c>
      <c r="F211">
        <v>0.66</v>
      </c>
      <c r="G211">
        <v>3.6</v>
      </c>
      <c r="H211">
        <v>339</v>
      </c>
    </row>
    <row r="212" spans="1:8" x14ac:dyDescent="0.25">
      <c r="A212" s="1" t="s">
        <v>427</v>
      </c>
      <c r="B212" s="1" t="s">
        <v>428</v>
      </c>
      <c r="C212" s="1" t="s">
        <v>2697</v>
      </c>
      <c r="D212" s="1" t="s">
        <v>2706</v>
      </c>
      <c r="E212">
        <v>9990</v>
      </c>
      <c r="F212">
        <v>0.35</v>
      </c>
      <c r="G212">
        <v>4</v>
      </c>
      <c r="H212">
        <v>27</v>
      </c>
    </row>
    <row r="213" spans="1:8" x14ac:dyDescent="0.25">
      <c r="A213" s="1" t="s">
        <v>429</v>
      </c>
      <c r="B213" s="1" t="s">
        <v>430</v>
      </c>
      <c r="C213" s="1" t="s">
        <v>2697</v>
      </c>
      <c r="D213" s="1" t="s">
        <v>2700</v>
      </c>
      <c r="E213">
        <v>599</v>
      </c>
      <c r="F213">
        <v>0.61</v>
      </c>
      <c r="G213">
        <v>3.5</v>
      </c>
      <c r="H213">
        <v>197</v>
      </c>
    </row>
    <row r="214" spans="1:8" x14ac:dyDescent="0.25">
      <c r="A214" s="1" t="s">
        <v>431</v>
      </c>
      <c r="B214" s="1" t="s">
        <v>432</v>
      </c>
      <c r="C214" s="1" t="s">
        <v>2694</v>
      </c>
      <c r="D214" s="1" t="s">
        <v>2695</v>
      </c>
      <c r="E214">
        <v>800</v>
      </c>
      <c r="F214">
        <v>0.63</v>
      </c>
      <c r="G214">
        <v>4.5</v>
      </c>
      <c r="H214">
        <v>74977</v>
      </c>
    </row>
    <row r="215" spans="1:8" x14ac:dyDescent="0.25">
      <c r="A215" s="1" t="s">
        <v>433</v>
      </c>
      <c r="B215" s="1" t="s">
        <v>434</v>
      </c>
      <c r="C215" s="1" t="s">
        <v>2694</v>
      </c>
      <c r="D215" s="1" t="s">
        <v>2695</v>
      </c>
      <c r="E215">
        <v>1999</v>
      </c>
      <c r="F215">
        <v>0.6</v>
      </c>
      <c r="G215">
        <v>4.2</v>
      </c>
      <c r="H215">
        <v>8583</v>
      </c>
    </row>
    <row r="216" spans="1:8" x14ac:dyDescent="0.25">
      <c r="A216" s="1" t="s">
        <v>435</v>
      </c>
      <c r="B216" s="1" t="s">
        <v>436</v>
      </c>
      <c r="C216" s="1" t="s">
        <v>2697</v>
      </c>
      <c r="D216" s="1" t="s">
        <v>2700</v>
      </c>
      <c r="E216">
        <v>999</v>
      </c>
      <c r="F216">
        <v>0.7</v>
      </c>
      <c r="G216">
        <v>3.8</v>
      </c>
      <c r="H216">
        <v>928</v>
      </c>
    </row>
    <row r="217" spans="1:8" x14ac:dyDescent="0.25">
      <c r="A217" s="1" t="s">
        <v>437</v>
      </c>
      <c r="B217" s="1" t="s">
        <v>438</v>
      </c>
      <c r="C217" s="1" t="s">
        <v>2697</v>
      </c>
      <c r="D217" s="1" t="s">
        <v>2701</v>
      </c>
      <c r="E217">
        <v>16990</v>
      </c>
      <c r="F217">
        <v>0.59</v>
      </c>
      <c r="G217">
        <v>3.8</v>
      </c>
      <c r="H217">
        <v>110</v>
      </c>
    </row>
    <row r="218" spans="1:8" x14ac:dyDescent="0.25">
      <c r="A218" s="1" t="s">
        <v>439</v>
      </c>
      <c r="B218" s="1" t="s">
        <v>440</v>
      </c>
      <c r="C218" s="1" t="s">
        <v>2697</v>
      </c>
      <c r="D218" s="1" t="s">
        <v>2699</v>
      </c>
      <c r="E218">
        <v>59999</v>
      </c>
      <c r="F218">
        <v>0.28000000000000003</v>
      </c>
      <c r="G218">
        <v>4.0999999999999996</v>
      </c>
      <c r="H218">
        <v>6753</v>
      </c>
    </row>
    <row r="219" spans="1:8" x14ac:dyDescent="0.25">
      <c r="A219" s="1" t="s">
        <v>441</v>
      </c>
      <c r="B219" s="1" t="s">
        <v>442</v>
      </c>
      <c r="C219" s="1" t="s">
        <v>2697</v>
      </c>
      <c r="D219" s="1" t="s">
        <v>2698</v>
      </c>
      <c r="E219">
        <v>999</v>
      </c>
      <c r="F219">
        <v>0.83</v>
      </c>
      <c r="G219">
        <v>4.3</v>
      </c>
      <c r="H219">
        <v>1237</v>
      </c>
    </row>
    <row r="220" spans="1:8" x14ac:dyDescent="0.25">
      <c r="A220" s="1" t="s">
        <v>443</v>
      </c>
      <c r="B220" s="1" t="s">
        <v>444</v>
      </c>
      <c r="C220" s="1" t="s">
        <v>2697</v>
      </c>
      <c r="D220" s="1" t="s">
        <v>2707</v>
      </c>
      <c r="E220">
        <v>600</v>
      </c>
      <c r="F220">
        <v>0.65</v>
      </c>
      <c r="G220">
        <v>4.4000000000000004</v>
      </c>
      <c r="H220">
        <v>18872</v>
      </c>
    </row>
    <row r="221" spans="1:8" x14ac:dyDescent="0.25">
      <c r="A221" s="1" t="s">
        <v>445</v>
      </c>
      <c r="B221" s="1" t="s">
        <v>446</v>
      </c>
      <c r="C221" s="1" t="s">
        <v>2694</v>
      </c>
      <c r="D221" s="1" t="s">
        <v>2695</v>
      </c>
      <c r="E221">
        <v>1490</v>
      </c>
      <c r="F221">
        <v>0.43</v>
      </c>
      <c r="G221">
        <v>3.9</v>
      </c>
      <c r="H221">
        <v>356</v>
      </c>
    </row>
    <row r="222" spans="1:8" x14ac:dyDescent="0.25">
      <c r="A222" s="1" t="s">
        <v>447</v>
      </c>
      <c r="B222" s="1" t="s">
        <v>448</v>
      </c>
      <c r="C222" s="1" t="s">
        <v>2694</v>
      </c>
      <c r="D222" s="1" t="s">
        <v>2695</v>
      </c>
      <c r="E222">
        <v>1999</v>
      </c>
      <c r="F222">
        <v>0.68</v>
      </c>
      <c r="G222">
        <v>4.2</v>
      </c>
      <c r="H222">
        <v>24269</v>
      </c>
    </row>
    <row r="223" spans="1:8" x14ac:dyDescent="0.25">
      <c r="A223" s="1" t="s">
        <v>449</v>
      </c>
      <c r="B223" s="1" t="s">
        <v>450</v>
      </c>
      <c r="C223" s="1" t="s">
        <v>2697</v>
      </c>
      <c r="D223" s="1" t="s">
        <v>2700</v>
      </c>
      <c r="E223">
        <v>899</v>
      </c>
      <c r="F223">
        <v>0.67</v>
      </c>
      <c r="G223">
        <v>3.8</v>
      </c>
      <c r="H223">
        <v>425</v>
      </c>
    </row>
    <row r="224" spans="1:8" x14ac:dyDescent="0.25">
      <c r="A224" s="1" t="s">
        <v>451</v>
      </c>
      <c r="B224" s="1" t="s">
        <v>452</v>
      </c>
      <c r="C224" s="1" t="s">
        <v>2697</v>
      </c>
      <c r="D224" s="1" t="s">
        <v>2702</v>
      </c>
      <c r="E224">
        <v>799</v>
      </c>
      <c r="F224">
        <v>0.5</v>
      </c>
      <c r="G224">
        <v>4.0999999999999996</v>
      </c>
      <c r="H224">
        <v>1161</v>
      </c>
    </row>
    <row r="225" spans="1:8" x14ac:dyDescent="0.25">
      <c r="A225" s="1" t="s">
        <v>453</v>
      </c>
      <c r="B225" s="1" t="s">
        <v>454</v>
      </c>
      <c r="C225" s="1" t="s">
        <v>2694</v>
      </c>
      <c r="D225" s="1" t="s">
        <v>2695</v>
      </c>
      <c r="E225">
        <v>499</v>
      </c>
      <c r="F225">
        <v>0.5</v>
      </c>
      <c r="G225">
        <v>4.0999999999999996</v>
      </c>
      <c r="H225">
        <v>1508</v>
      </c>
    </row>
    <row r="226" spans="1:8" x14ac:dyDescent="0.25">
      <c r="A226" s="1" t="s">
        <v>455</v>
      </c>
      <c r="B226" s="1" t="s">
        <v>456</v>
      </c>
      <c r="C226" s="1" t="s">
        <v>2697</v>
      </c>
      <c r="D226" s="1" t="s">
        <v>2708</v>
      </c>
      <c r="E226">
        <v>2299</v>
      </c>
      <c r="F226">
        <v>0.46</v>
      </c>
      <c r="G226">
        <v>4.3</v>
      </c>
      <c r="H226">
        <v>7636</v>
      </c>
    </row>
    <row r="227" spans="1:8" x14ac:dyDescent="0.25">
      <c r="A227" s="1" t="s">
        <v>457</v>
      </c>
      <c r="B227" s="1" t="s">
        <v>458</v>
      </c>
      <c r="C227" s="1" t="s">
        <v>2697</v>
      </c>
      <c r="D227" s="1" t="s">
        <v>2700</v>
      </c>
      <c r="E227">
        <v>499</v>
      </c>
      <c r="F227">
        <v>0.56999999999999995</v>
      </c>
      <c r="G227">
        <v>3.7</v>
      </c>
      <c r="H227">
        <v>246</v>
      </c>
    </row>
    <row r="228" spans="1:8" x14ac:dyDescent="0.25">
      <c r="A228" s="1" t="s">
        <v>459</v>
      </c>
      <c r="B228" s="1" t="s">
        <v>460</v>
      </c>
      <c r="C228" s="1" t="s">
        <v>2697</v>
      </c>
      <c r="D228" s="1" t="s">
        <v>2700</v>
      </c>
      <c r="E228">
        <v>499</v>
      </c>
      <c r="F228">
        <v>0.57999999999999996</v>
      </c>
      <c r="G228">
        <v>4</v>
      </c>
      <c r="H228">
        <v>479</v>
      </c>
    </row>
    <row r="229" spans="1:8" x14ac:dyDescent="0.25">
      <c r="A229" s="1" t="s">
        <v>461</v>
      </c>
      <c r="B229" s="1" t="s">
        <v>462</v>
      </c>
      <c r="C229" s="1" t="s">
        <v>2697</v>
      </c>
      <c r="D229" s="1" t="s">
        <v>2698</v>
      </c>
      <c r="E229">
        <v>4999</v>
      </c>
      <c r="F229">
        <v>0.88</v>
      </c>
      <c r="G229">
        <v>4.2</v>
      </c>
      <c r="H229">
        <v>910</v>
      </c>
    </row>
    <row r="230" spans="1:8" x14ac:dyDescent="0.25">
      <c r="A230" s="1" t="s">
        <v>463</v>
      </c>
      <c r="B230" s="1" t="s">
        <v>464</v>
      </c>
      <c r="C230" s="1" t="s">
        <v>2694</v>
      </c>
      <c r="D230" s="1" t="s">
        <v>2695</v>
      </c>
      <c r="E230">
        <v>1749</v>
      </c>
      <c r="F230">
        <v>0.54</v>
      </c>
      <c r="G230">
        <v>4.0999999999999996</v>
      </c>
      <c r="H230">
        <v>5626</v>
      </c>
    </row>
    <row r="231" spans="1:8" x14ac:dyDescent="0.25">
      <c r="A231" s="1" t="s">
        <v>465</v>
      </c>
      <c r="B231" s="1" t="s">
        <v>466</v>
      </c>
      <c r="C231" s="1" t="s">
        <v>2694</v>
      </c>
      <c r="D231" s="1" t="s">
        <v>2695</v>
      </c>
      <c r="E231">
        <v>595</v>
      </c>
      <c r="F231">
        <v>0.73</v>
      </c>
      <c r="G231">
        <v>4.3</v>
      </c>
      <c r="H231">
        <v>14184</v>
      </c>
    </row>
    <row r="232" spans="1:8" x14ac:dyDescent="0.25">
      <c r="A232" s="1" t="s">
        <v>467</v>
      </c>
      <c r="B232" s="1" t="s">
        <v>468</v>
      </c>
      <c r="C232" s="1" t="s">
        <v>2694</v>
      </c>
      <c r="D232" s="1" t="s">
        <v>2709</v>
      </c>
      <c r="E232">
        <v>1100</v>
      </c>
      <c r="F232">
        <v>0.55000000000000004</v>
      </c>
      <c r="G232">
        <v>4.4000000000000004</v>
      </c>
      <c r="H232">
        <v>25177</v>
      </c>
    </row>
    <row r="233" spans="1:8" x14ac:dyDescent="0.25">
      <c r="A233" s="1" t="s">
        <v>469</v>
      </c>
      <c r="B233" s="1" t="s">
        <v>470</v>
      </c>
      <c r="C233" s="1" t="s">
        <v>2697</v>
      </c>
      <c r="D233" s="1" t="s">
        <v>2699</v>
      </c>
      <c r="E233">
        <v>49999</v>
      </c>
      <c r="F233">
        <v>0.36</v>
      </c>
      <c r="G233">
        <v>4.3</v>
      </c>
      <c r="H233">
        <v>21252</v>
      </c>
    </row>
    <row r="234" spans="1:8" x14ac:dyDescent="0.25">
      <c r="A234" s="1" t="s">
        <v>471</v>
      </c>
      <c r="B234" s="1" t="s">
        <v>472</v>
      </c>
      <c r="C234" s="1" t="s">
        <v>2697</v>
      </c>
      <c r="D234" s="1" t="s">
        <v>2699</v>
      </c>
      <c r="E234">
        <v>56790</v>
      </c>
      <c r="F234">
        <v>0.42</v>
      </c>
      <c r="G234">
        <v>4.3</v>
      </c>
      <c r="H234">
        <v>567</v>
      </c>
    </row>
    <row r="235" spans="1:8" x14ac:dyDescent="0.25">
      <c r="A235" s="1" t="s">
        <v>473</v>
      </c>
      <c r="B235" s="1" t="s">
        <v>474</v>
      </c>
      <c r="C235" s="1" t="s">
        <v>2697</v>
      </c>
      <c r="D235" s="1" t="s">
        <v>2700</v>
      </c>
      <c r="E235">
        <v>1199</v>
      </c>
      <c r="F235">
        <v>0.75</v>
      </c>
      <c r="G235">
        <v>3.5</v>
      </c>
      <c r="H235">
        <v>466</v>
      </c>
    </row>
    <row r="236" spans="1:8" x14ac:dyDescent="0.25">
      <c r="A236" s="1" t="s">
        <v>475</v>
      </c>
      <c r="B236" s="1" t="s">
        <v>476</v>
      </c>
      <c r="C236" s="1" t="s">
        <v>2694</v>
      </c>
      <c r="D236" s="1" t="s">
        <v>2695</v>
      </c>
      <c r="E236">
        <v>549</v>
      </c>
      <c r="F236">
        <v>0.77</v>
      </c>
      <c r="G236">
        <v>3.9</v>
      </c>
      <c r="H236">
        <v>61</v>
      </c>
    </row>
    <row r="237" spans="1:8" x14ac:dyDescent="0.25">
      <c r="A237" s="1" t="s">
        <v>477</v>
      </c>
      <c r="B237" s="1" t="s">
        <v>478</v>
      </c>
      <c r="C237" s="1" t="s">
        <v>2694</v>
      </c>
      <c r="D237" s="1" t="s">
        <v>2695</v>
      </c>
      <c r="E237">
        <v>849</v>
      </c>
      <c r="F237">
        <v>0.28999999999999998</v>
      </c>
      <c r="G237">
        <v>4.5</v>
      </c>
      <c r="H237">
        <v>474</v>
      </c>
    </row>
    <row r="238" spans="1:8" x14ac:dyDescent="0.25">
      <c r="A238" s="1" t="s">
        <v>479</v>
      </c>
      <c r="B238" s="1" t="s">
        <v>480</v>
      </c>
      <c r="C238" s="1" t="s">
        <v>2697</v>
      </c>
      <c r="D238" s="1" t="s">
        <v>2700</v>
      </c>
      <c r="E238">
        <v>899</v>
      </c>
      <c r="F238">
        <v>0.56000000000000005</v>
      </c>
      <c r="G238">
        <v>3.4</v>
      </c>
      <c r="H238">
        <v>431</v>
      </c>
    </row>
    <row r="239" spans="1:8" x14ac:dyDescent="0.25">
      <c r="A239" s="1" t="s">
        <v>481</v>
      </c>
      <c r="B239" s="1" t="s">
        <v>482</v>
      </c>
      <c r="C239" s="1" t="s">
        <v>2694</v>
      </c>
      <c r="D239" s="1" t="s">
        <v>2695</v>
      </c>
      <c r="E239">
        <v>1099</v>
      </c>
      <c r="F239">
        <v>0.59</v>
      </c>
      <c r="G239">
        <v>4</v>
      </c>
      <c r="H239">
        <v>242</v>
      </c>
    </row>
    <row r="240" spans="1:8" x14ac:dyDescent="0.25">
      <c r="A240" s="1" t="s">
        <v>483</v>
      </c>
      <c r="B240" s="1" t="s">
        <v>484</v>
      </c>
      <c r="C240" s="1" t="s">
        <v>2694</v>
      </c>
      <c r="D240" s="1" t="s">
        <v>2695</v>
      </c>
      <c r="E240">
        <v>799</v>
      </c>
      <c r="F240">
        <v>0.68</v>
      </c>
      <c r="G240">
        <v>4</v>
      </c>
      <c r="H240">
        <v>2905</v>
      </c>
    </row>
    <row r="241" spans="1:8" x14ac:dyDescent="0.25">
      <c r="A241" s="1" t="s">
        <v>485</v>
      </c>
      <c r="B241" s="1" t="s">
        <v>486</v>
      </c>
      <c r="C241" s="1" t="s">
        <v>2697</v>
      </c>
      <c r="D241" s="1" t="s">
        <v>2710</v>
      </c>
      <c r="E241">
        <v>795</v>
      </c>
      <c r="F241">
        <v>0.5</v>
      </c>
      <c r="G241">
        <v>4.4000000000000004</v>
      </c>
      <c r="H241">
        <v>12091</v>
      </c>
    </row>
    <row r="242" spans="1:8" x14ac:dyDescent="0.25">
      <c r="A242" s="1" t="s">
        <v>487</v>
      </c>
      <c r="B242" s="1" t="s">
        <v>488</v>
      </c>
      <c r="C242" s="1" t="s">
        <v>2694</v>
      </c>
      <c r="D242" s="1" t="s">
        <v>2695</v>
      </c>
      <c r="E242">
        <v>399</v>
      </c>
      <c r="F242">
        <v>0.55000000000000004</v>
      </c>
      <c r="G242">
        <v>4</v>
      </c>
      <c r="H242">
        <v>1423</v>
      </c>
    </row>
    <row r="243" spans="1:8" x14ac:dyDescent="0.25">
      <c r="A243" s="1" t="s">
        <v>489</v>
      </c>
      <c r="B243" s="1" t="s">
        <v>490</v>
      </c>
      <c r="C243" s="1" t="s">
        <v>2694</v>
      </c>
      <c r="D243" s="1" t="s">
        <v>2695</v>
      </c>
      <c r="E243">
        <v>999</v>
      </c>
      <c r="F243">
        <v>0.66</v>
      </c>
      <c r="G243">
        <v>4.3</v>
      </c>
      <c r="H243">
        <v>6255</v>
      </c>
    </row>
    <row r="244" spans="1:8" x14ac:dyDescent="0.25">
      <c r="A244" s="1" t="s">
        <v>491</v>
      </c>
      <c r="B244" s="1" t="s">
        <v>492</v>
      </c>
      <c r="C244" s="1" t="s">
        <v>2697</v>
      </c>
      <c r="D244" s="1" t="s">
        <v>2702</v>
      </c>
      <c r="E244">
        <v>999</v>
      </c>
      <c r="F244">
        <v>0.6</v>
      </c>
      <c r="G244">
        <v>4</v>
      </c>
      <c r="H244">
        <v>1236</v>
      </c>
    </row>
    <row r="245" spans="1:8" x14ac:dyDescent="0.25">
      <c r="A245" s="1" t="s">
        <v>493</v>
      </c>
      <c r="B245" s="1" t="s">
        <v>494</v>
      </c>
      <c r="C245" s="1" t="s">
        <v>2697</v>
      </c>
      <c r="D245" s="1" t="s">
        <v>2700</v>
      </c>
      <c r="E245">
        <v>399</v>
      </c>
      <c r="F245">
        <v>0.5</v>
      </c>
      <c r="G245">
        <v>4.2</v>
      </c>
      <c r="H245">
        <v>1335</v>
      </c>
    </row>
    <row r="246" spans="1:8" x14ac:dyDescent="0.25">
      <c r="A246" s="1" t="s">
        <v>495</v>
      </c>
      <c r="B246" s="1" t="s">
        <v>496</v>
      </c>
      <c r="C246" s="1" t="s">
        <v>2697</v>
      </c>
      <c r="D246" s="1" t="s">
        <v>2700</v>
      </c>
      <c r="E246">
        <v>1999</v>
      </c>
      <c r="F246">
        <v>0.83</v>
      </c>
      <c r="G246">
        <v>3.8</v>
      </c>
      <c r="H246">
        <v>197</v>
      </c>
    </row>
    <row r="247" spans="1:8" x14ac:dyDescent="0.25">
      <c r="A247" s="1" t="s">
        <v>497</v>
      </c>
      <c r="B247" s="1" t="s">
        <v>498</v>
      </c>
      <c r="C247" s="1" t="s">
        <v>2694</v>
      </c>
      <c r="D247" s="1" t="s">
        <v>2695</v>
      </c>
      <c r="E247">
        <v>798</v>
      </c>
      <c r="F247">
        <v>0.63</v>
      </c>
      <c r="G247">
        <v>4.4000000000000004</v>
      </c>
      <c r="H247">
        <v>28791</v>
      </c>
    </row>
    <row r="248" spans="1:8" x14ac:dyDescent="0.25">
      <c r="A248" s="1" t="s">
        <v>499</v>
      </c>
      <c r="B248" s="1" t="s">
        <v>500</v>
      </c>
      <c r="C248" s="1" t="s">
        <v>2694</v>
      </c>
      <c r="D248" s="1" t="s">
        <v>2695</v>
      </c>
      <c r="E248">
        <v>800</v>
      </c>
      <c r="F248">
        <v>0.89</v>
      </c>
      <c r="G248">
        <v>3.9</v>
      </c>
      <c r="H248">
        <v>1075</v>
      </c>
    </row>
    <row r="249" spans="1:8" x14ac:dyDescent="0.25">
      <c r="A249" s="1" t="s">
        <v>501</v>
      </c>
      <c r="B249" s="1" t="s">
        <v>502</v>
      </c>
      <c r="C249" s="1" t="s">
        <v>2694</v>
      </c>
      <c r="D249" s="1" t="s">
        <v>2695</v>
      </c>
      <c r="E249">
        <v>995</v>
      </c>
      <c r="F249">
        <v>0.45</v>
      </c>
      <c r="G249">
        <v>4.2</v>
      </c>
      <c r="H249">
        <v>29746</v>
      </c>
    </row>
    <row r="250" spans="1:8" x14ac:dyDescent="0.25">
      <c r="A250" s="1" t="s">
        <v>503</v>
      </c>
      <c r="B250" s="1" t="s">
        <v>504</v>
      </c>
      <c r="C250" s="1" t="s">
        <v>2694</v>
      </c>
      <c r="D250" s="1" t="s">
        <v>2695</v>
      </c>
      <c r="E250">
        <v>1000</v>
      </c>
      <c r="F250">
        <v>0.87</v>
      </c>
      <c r="G250">
        <v>3.9</v>
      </c>
      <c r="H250">
        <v>295</v>
      </c>
    </row>
    <row r="251" spans="1:8" x14ac:dyDescent="0.25">
      <c r="A251" s="1" t="s">
        <v>505</v>
      </c>
      <c r="B251" s="1" t="s">
        <v>506</v>
      </c>
      <c r="C251" s="1" t="s">
        <v>2697</v>
      </c>
      <c r="D251" s="1" t="s">
        <v>2699</v>
      </c>
      <c r="E251">
        <v>139900</v>
      </c>
      <c r="F251">
        <v>0.44</v>
      </c>
      <c r="G251">
        <v>4.7</v>
      </c>
      <c r="H251">
        <v>5935</v>
      </c>
    </row>
    <row r="252" spans="1:8" x14ac:dyDescent="0.25">
      <c r="A252" s="1" t="s">
        <v>507</v>
      </c>
      <c r="B252" s="1" t="s">
        <v>508</v>
      </c>
      <c r="C252" s="1" t="s">
        <v>2697</v>
      </c>
      <c r="D252" s="1" t="s">
        <v>2700</v>
      </c>
      <c r="E252">
        <v>799</v>
      </c>
      <c r="F252">
        <v>0.56000000000000005</v>
      </c>
      <c r="G252">
        <v>3.6</v>
      </c>
      <c r="H252">
        <v>323</v>
      </c>
    </row>
    <row r="253" spans="1:8" x14ac:dyDescent="0.25">
      <c r="A253" s="1" t="s">
        <v>509</v>
      </c>
      <c r="B253" s="1" t="s">
        <v>510</v>
      </c>
      <c r="C253" s="1" t="s">
        <v>2697</v>
      </c>
      <c r="D253" s="1" t="s">
        <v>2700</v>
      </c>
      <c r="E253">
        <v>899</v>
      </c>
      <c r="F253">
        <v>0.44</v>
      </c>
      <c r="G253">
        <v>3.7</v>
      </c>
      <c r="H253">
        <v>185</v>
      </c>
    </row>
    <row r="254" spans="1:8" x14ac:dyDescent="0.25">
      <c r="A254" s="1" t="s">
        <v>511</v>
      </c>
      <c r="B254" s="1" t="s">
        <v>512</v>
      </c>
      <c r="C254" s="1" t="s">
        <v>2694</v>
      </c>
      <c r="D254" s="1" t="s">
        <v>2695</v>
      </c>
      <c r="E254">
        <v>799</v>
      </c>
      <c r="F254">
        <v>0.63</v>
      </c>
      <c r="G254">
        <v>4.2</v>
      </c>
      <c r="H254">
        <v>2117</v>
      </c>
    </row>
    <row r="255" spans="1:8" x14ac:dyDescent="0.25">
      <c r="A255" s="1" t="s">
        <v>513</v>
      </c>
      <c r="B255" s="1" t="s">
        <v>514</v>
      </c>
      <c r="C255" s="1" t="s">
        <v>2694</v>
      </c>
      <c r="D255" s="1" t="s">
        <v>2695</v>
      </c>
      <c r="E255">
        <v>599</v>
      </c>
      <c r="F255">
        <v>0.7</v>
      </c>
      <c r="G255">
        <v>4</v>
      </c>
      <c r="H255">
        <v>9378</v>
      </c>
    </row>
    <row r="256" spans="1:8" x14ac:dyDescent="0.25">
      <c r="A256" s="1" t="s">
        <v>515</v>
      </c>
      <c r="B256" s="1" t="s">
        <v>516</v>
      </c>
      <c r="C256" s="1" t="s">
        <v>2697</v>
      </c>
      <c r="D256" s="1" t="s">
        <v>2702</v>
      </c>
      <c r="E256">
        <v>399</v>
      </c>
      <c r="F256">
        <v>0.76</v>
      </c>
      <c r="G256">
        <v>3.6</v>
      </c>
      <c r="H256">
        <v>1796</v>
      </c>
    </row>
    <row r="257" spans="1:8" x14ac:dyDescent="0.25">
      <c r="A257" s="1" t="s">
        <v>517</v>
      </c>
      <c r="B257" s="1" t="s">
        <v>518</v>
      </c>
      <c r="C257" s="1" t="s">
        <v>2697</v>
      </c>
      <c r="D257" s="1" t="s">
        <v>2699</v>
      </c>
      <c r="E257">
        <v>85000</v>
      </c>
      <c r="F257">
        <v>0.35</v>
      </c>
      <c r="G257">
        <v>4.3</v>
      </c>
      <c r="H257">
        <v>3587</v>
      </c>
    </row>
    <row r="258" spans="1:8" x14ac:dyDescent="0.25">
      <c r="A258" s="1" t="s">
        <v>519</v>
      </c>
      <c r="B258" s="1" t="s">
        <v>520</v>
      </c>
      <c r="C258" s="1" t="s">
        <v>2697</v>
      </c>
      <c r="D258" s="1" t="s">
        <v>2703</v>
      </c>
      <c r="E258">
        <v>758</v>
      </c>
      <c r="F258">
        <v>0.42</v>
      </c>
      <c r="G258">
        <v>4.2</v>
      </c>
      <c r="H258">
        <v>4296</v>
      </c>
    </row>
    <row r="259" spans="1:8" x14ac:dyDescent="0.25">
      <c r="A259" s="1" t="s">
        <v>521</v>
      </c>
      <c r="B259" s="1" t="s">
        <v>522</v>
      </c>
      <c r="C259" s="1" t="s">
        <v>2694</v>
      </c>
      <c r="D259" s="1" t="s">
        <v>2695</v>
      </c>
      <c r="E259">
        <v>999</v>
      </c>
      <c r="F259">
        <v>0.7</v>
      </c>
      <c r="G259">
        <v>4.3</v>
      </c>
      <c r="H259">
        <v>2651</v>
      </c>
    </row>
    <row r="260" spans="1:8" x14ac:dyDescent="0.25">
      <c r="A260" s="1" t="s">
        <v>523</v>
      </c>
      <c r="B260" s="1" t="s">
        <v>524</v>
      </c>
      <c r="C260" s="1" t="s">
        <v>2694</v>
      </c>
      <c r="D260" s="1" t="s">
        <v>2695</v>
      </c>
      <c r="E260">
        <v>799</v>
      </c>
      <c r="F260">
        <v>0.63</v>
      </c>
      <c r="G260">
        <v>4.2</v>
      </c>
      <c r="H260">
        <v>94363</v>
      </c>
    </row>
    <row r="261" spans="1:8" x14ac:dyDescent="0.25">
      <c r="A261" s="1" t="s">
        <v>525</v>
      </c>
      <c r="B261" s="1" t="s">
        <v>526</v>
      </c>
      <c r="C261" s="1" t="s">
        <v>2694</v>
      </c>
      <c r="D261" s="1" t="s">
        <v>2695</v>
      </c>
      <c r="E261">
        <v>1999</v>
      </c>
      <c r="F261">
        <v>0.61</v>
      </c>
      <c r="G261">
        <v>4.2</v>
      </c>
      <c r="H261">
        <v>34540</v>
      </c>
    </row>
    <row r="262" spans="1:8" x14ac:dyDescent="0.25">
      <c r="A262" s="1" t="s">
        <v>527</v>
      </c>
      <c r="B262" s="1" t="s">
        <v>528</v>
      </c>
      <c r="C262" s="1" t="s">
        <v>2697</v>
      </c>
      <c r="D262" s="1" t="s">
        <v>2698</v>
      </c>
      <c r="E262">
        <v>700</v>
      </c>
      <c r="F262">
        <v>0.56999999999999995</v>
      </c>
      <c r="G262">
        <v>4.4000000000000004</v>
      </c>
      <c r="H262">
        <v>8714</v>
      </c>
    </row>
    <row r="263" spans="1:8" x14ac:dyDescent="0.25">
      <c r="A263" s="1" t="s">
        <v>529</v>
      </c>
      <c r="B263" s="1" t="s">
        <v>530</v>
      </c>
      <c r="C263" s="1" t="s">
        <v>2694</v>
      </c>
      <c r="D263" s="1" t="s">
        <v>2695</v>
      </c>
      <c r="E263">
        <v>1099</v>
      </c>
      <c r="F263">
        <v>0.7</v>
      </c>
      <c r="G263">
        <v>4.2</v>
      </c>
      <c r="H263">
        <v>10576</v>
      </c>
    </row>
    <row r="264" spans="1:8" x14ac:dyDescent="0.25">
      <c r="A264" s="1" t="s">
        <v>531</v>
      </c>
      <c r="B264" s="1" t="s">
        <v>532</v>
      </c>
      <c r="C264" s="1" t="s">
        <v>2694</v>
      </c>
      <c r="D264" s="1" t="s">
        <v>2695</v>
      </c>
      <c r="E264">
        <v>1999</v>
      </c>
      <c r="F264">
        <v>0.35</v>
      </c>
      <c r="G264">
        <v>4.4000000000000004</v>
      </c>
      <c r="H264">
        <v>7318</v>
      </c>
    </row>
    <row r="265" spans="1:8" x14ac:dyDescent="0.25">
      <c r="A265" s="1" t="s">
        <v>533</v>
      </c>
      <c r="B265" s="1" t="s">
        <v>534</v>
      </c>
      <c r="C265" s="1" t="s">
        <v>2697</v>
      </c>
      <c r="D265" s="1" t="s">
        <v>2700</v>
      </c>
      <c r="E265">
        <v>1999</v>
      </c>
      <c r="F265">
        <v>0.6</v>
      </c>
      <c r="G265">
        <v>3</v>
      </c>
      <c r="H265">
        <v>103</v>
      </c>
    </row>
    <row r="266" spans="1:8" x14ac:dyDescent="0.25">
      <c r="A266" s="1" t="s">
        <v>535</v>
      </c>
      <c r="B266" s="1" t="s">
        <v>536</v>
      </c>
      <c r="C266" s="1" t="s">
        <v>2697</v>
      </c>
      <c r="D266" s="1" t="s">
        <v>2711</v>
      </c>
      <c r="E266">
        <v>4699</v>
      </c>
      <c r="F266">
        <v>0</v>
      </c>
      <c r="G266">
        <v>4.5</v>
      </c>
      <c r="H266">
        <v>224</v>
      </c>
    </row>
    <row r="267" spans="1:8" x14ac:dyDescent="0.25">
      <c r="A267" s="1" t="s">
        <v>537</v>
      </c>
      <c r="B267" s="1" t="s">
        <v>538</v>
      </c>
      <c r="C267" s="1" t="s">
        <v>2697</v>
      </c>
      <c r="D267" s="1" t="s">
        <v>2699</v>
      </c>
      <c r="E267">
        <v>24990</v>
      </c>
      <c r="F267">
        <v>0.24</v>
      </c>
      <c r="G267">
        <v>4.3</v>
      </c>
      <c r="H267">
        <v>4702</v>
      </c>
    </row>
    <row r="268" spans="1:8" x14ac:dyDescent="0.25">
      <c r="A268" s="1" t="s">
        <v>539</v>
      </c>
      <c r="B268" s="1" t="s">
        <v>540</v>
      </c>
      <c r="C268" s="1" t="s">
        <v>2694</v>
      </c>
      <c r="D268" s="1" t="s">
        <v>2695</v>
      </c>
      <c r="E268">
        <v>999</v>
      </c>
      <c r="F268">
        <v>0.8</v>
      </c>
      <c r="G268">
        <v>4.2</v>
      </c>
      <c r="H268">
        <v>85</v>
      </c>
    </row>
    <row r="269" spans="1:8" x14ac:dyDescent="0.25">
      <c r="A269" s="1" t="s">
        <v>541</v>
      </c>
      <c r="B269" s="1" t="s">
        <v>542</v>
      </c>
      <c r="C269" s="1" t="s">
        <v>2697</v>
      </c>
      <c r="D269" s="1" t="s">
        <v>2698</v>
      </c>
      <c r="E269">
        <v>650</v>
      </c>
      <c r="F269">
        <v>0.59</v>
      </c>
      <c r="G269">
        <v>4.4000000000000004</v>
      </c>
      <c r="H269">
        <v>35877</v>
      </c>
    </row>
    <row r="270" spans="1:8" x14ac:dyDescent="0.25">
      <c r="A270" s="1" t="s">
        <v>543</v>
      </c>
      <c r="B270" s="1" t="s">
        <v>544</v>
      </c>
      <c r="C270" s="1" t="s">
        <v>2697</v>
      </c>
      <c r="D270" s="1" t="s">
        <v>2712</v>
      </c>
      <c r="E270">
        <v>3100</v>
      </c>
      <c r="F270">
        <v>0.36</v>
      </c>
      <c r="G270">
        <v>4</v>
      </c>
      <c r="H270">
        <v>897</v>
      </c>
    </row>
    <row r="271" spans="1:8" x14ac:dyDescent="0.25">
      <c r="A271" s="1" t="s">
        <v>545</v>
      </c>
      <c r="B271" s="1" t="s">
        <v>546</v>
      </c>
      <c r="C271" s="1" t="s">
        <v>2697</v>
      </c>
      <c r="D271" s="1" t="s">
        <v>2713</v>
      </c>
      <c r="E271">
        <v>3999</v>
      </c>
      <c r="F271">
        <v>0.43</v>
      </c>
      <c r="G271">
        <v>3.8</v>
      </c>
      <c r="H271">
        <v>282</v>
      </c>
    </row>
    <row r="272" spans="1:8" x14ac:dyDescent="0.25">
      <c r="A272" s="1" t="s">
        <v>547</v>
      </c>
      <c r="B272" s="1" t="s">
        <v>548</v>
      </c>
      <c r="C272" s="1" t="s">
        <v>2697</v>
      </c>
      <c r="D272" s="1" t="s">
        <v>2699</v>
      </c>
      <c r="E272">
        <v>49990</v>
      </c>
      <c r="F272">
        <v>0.28000000000000003</v>
      </c>
      <c r="G272">
        <v>4.3</v>
      </c>
      <c r="H272">
        <v>1611</v>
      </c>
    </row>
    <row r="273" spans="1:8" x14ac:dyDescent="0.25">
      <c r="A273" s="1" t="s">
        <v>549</v>
      </c>
      <c r="B273" s="1" t="s">
        <v>550</v>
      </c>
      <c r="C273" s="1" t="s">
        <v>2697</v>
      </c>
      <c r="D273" s="1" t="s">
        <v>2700</v>
      </c>
      <c r="E273">
        <v>999</v>
      </c>
      <c r="F273">
        <v>0.65</v>
      </c>
      <c r="G273">
        <v>4.2</v>
      </c>
      <c r="H273">
        <v>513</v>
      </c>
    </row>
    <row r="274" spans="1:8" x14ac:dyDescent="0.25">
      <c r="A274" s="1" t="s">
        <v>551</v>
      </c>
      <c r="B274" s="1" t="s">
        <v>552</v>
      </c>
      <c r="C274" s="1" t="s">
        <v>2694</v>
      </c>
      <c r="D274" s="1" t="s">
        <v>2695</v>
      </c>
      <c r="E274">
        <v>1499</v>
      </c>
      <c r="F274">
        <v>0.52</v>
      </c>
      <c r="G274">
        <v>4.0999999999999996</v>
      </c>
      <c r="H274">
        <v>1045</v>
      </c>
    </row>
    <row r="275" spans="1:8" x14ac:dyDescent="0.25">
      <c r="A275" s="1" t="s">
        <v>553</v>
      </c>
      <c r="B275" s="1" t="s">
        <v>554</v>
      </c>
      <c r="C275" s="1" t="s">
        <v>2697</v>
      </c>
      <c r="D275" s="1" t="s">
        <v>2699</v>
      </c>
      <c r="E275">
        <v>18999</v>
      </c>
      <c r="F275">
        <v>0.53</v>
      </c>
      <c r="G275">
        <v>4</v>
      </c>
      <c r="H275">
        <v>6347</v>
      </c>
    </row>
    <row r="276" spans="1:8" x14ac:dyDescent="0.25">
      <c r="A276" s="1" t="s">
        <v>555</v>
      </c>
      <c r="B276" s="1" t="s">
        <v>556</v>
      </c>
      <c r="C276" s="1" t="s">
        <v>2697</v>
      </c>
      <c r="D276" s="1" t="s">
        <v>2708</v>
      </c>
      <c r="E276">
        <v>2299</v>
      </c>
      <c r="F276">
        <v>0.6</v>
      </c>
      <c r="G276">
        <v>4.2</v>
      </c>
      <c r="H276">
        <v>3300</v>
      </c>
    </row>
    <row r="277" spans="1:8" x14ac:dyDescent="0.25">
      <c r="A277" s="1" t="s">
        <v>557</v>
      </c>
      <c r="B277" s="1" t="s">
        <v>558</v>
      </c>
      <c r="C277" s="1" t="s">
        <v>2697</v>
      </c>
      <c r="D277" s="1" t="s">
        <v>2700</v>
      </c>
      <c r="E277">
        <v>999</v>
      </c>
      <c r="F277">
        <v>0.6</v>
      </c>
      <c r="G277">
        <v>3.3</v>
      </c>
      <c r="H277">
        <v>23</v>
      </c>
    </row>
    <row r="278" spans="1:8" x14ac:dyDescent="0.25">
      <c r="A278" s="1" t="s">
        <v>559</v>
      </c>
      <c r="B278" s="1" t="s">
        <v>560</v>
      </c>
      <c r="C278" s="1" t="s">
        <v>2697</v>
      </c>
      <c r="D278" s="1" t="s">
        <v>2699</v>
      </c>
      <c r="E278">
        <v>69900</v>
      </c>
      <c r="F278">
        <v>0.34</v>
      </c>
      <c r="G278">
        <v>4.3</v>
      </c>
      <c r="H278">
        <v>7109</v>
      </c>
    </row>
    <row r="279" spans="1:8" x14ac:dyDescent="0.25">
      <c r="A279" s="1" t="s">
        <v>561</v>
      </c>
      <c r="B279" s="1" t="s">
        <v>562</v>
      </c>
      <c r="C279" s="1" t="s">
        <v>2694</v>
      </c>
      <c r="D279" s="1" t="s">
        <v>2695</v>
      </c>
      <c r="E279">
        <v>299</v>
      </c>
      <c r="F279">
        <v>0.6</v>
      </c>
      <c r="G279">
        <v>3.8</v>
      </c>
      <c r="H279">
        <v>51</v>
      </c>
    </row>
    <row r="280" spans="1:8" x14ac:dyDescent="0.25">
      <c r="A280" s="1" t="s">
        <v>563</v>
      </c>
      <c r="B280" s="1" t="s">
        <v>564</v>
      </c>
      <c r="C280" s="1" t="s">
        <v>2697</v>
      </c>
      <c r="D280" s="1" t="s">
        <v>2699</v>
      </c>
      <c r="E280">
        <v>29999</v>
      </c>
      <c r="F280">
        <v>0.27</v>
      </c>
      <c r="G280">
        <v>4.2</v>
      </c>
      <c r="H280">
        <v>32840</v>
      </c>
    </row>
    <row r="281" spans="1:8" x14ac:dyDescent="0.25">
      <c r="A281" s="1" t="s">
        <v>565</v>
      </c>
      <c r="B281" s="1" t="s">
        <v>566</v>
      </c>
      <c r="C281" s="1" t="s">
        <v>2697</v>
      </c>
      <c r="D281" s="1" t="s">
        <v>2700</v>
      </c>
      <c r="E281">
        <v>599</v>
      </c>
      <c r="F281">
        <v>0.5</v>
      </c>
      <c r="G281">
        <v>3.7</v>
      </c>
      <c r="H281">
        <v>708</v>
      </c>
    </row>
    <row r="282" spans="1:8" x14ac:dyDescent="0.25">
      <c r="A282" s="1" t="s">
        <v>567</v>
      </c>
      <c r="B282" s="1" t="s">
        <v>568</v>
      </c>
      <c r="C282" s="1" t="s">
        <v>2697</v>
      </c>
      <c r="D282" s="1" t="s">
        <v>2699</v>
      </c>
      <c r="E282">
        <v>34990</v>
      </c>
      <c r="F282">
        <v>0.37</v>
      </c>
      <c r="G282">
        <v>4.3</v>
      </c>
      <c r="H282">
        <v>1657</v>
      </c>
    </row>
    <row r="283" spans="1:8" x14ac:dyDescent="0.25">
      <c r="A283" s="1" t="s">
        <v>569</v>
      </c>
      <c r="B283" s="1" t="s">
        <v>570</v>
      </c>
      <c r="C283" s="1" t="s">
        <v>2694</v>
      </c>
      <c r="D283" s="1" t="s">
        <v>2695</v>
      </c>
      <c r="E283">
        <v>670</v>
      </c>
      <c r="F283">
        <v>0.38</v>
      </c>
      <c r="G283">
        <v>3.9</v>
      </c>
      <c r="H283">
        <v>523</v>
      </c>
    </row>
    <row r="284" spans="1:8" x14ac:dyDescent="0.25">
      <c r="A284" s="1" t="s">
        <v>571</v>
      </c>
      <c r="B284" s="1" t="s">
        <v>572</v>
      </c>
      <c r="C284" s="1" t="s">
        <v>2697</v>
      </c>
      <c r="D284" s="1" t="s">
        <v>2699</v>
      </c>
      <c r="E284">
        <v>79990</v>
      </c>
      <c r="F284">
        <v>0.4</v>
      </c>
      <c r="G284">
        <v>4.3</v>
      </c>
      <c r="H284">
        <v>1376</v>
      </c>
    </row>
    <row r="285" spans="1:8" x14ac:dyDescent="0.25">
      <c r="A285" s="1" t="s">
        <v>573</v>
      </c>
      <c r="B285" s="1" t="s">
        <v>574</v>
      </c>
      <c r="C285" s="1" t="s">
        <v>2697</v>
      </c>
      <c r="D285" s="1" t="s">
        <v>2700</v>
      </c>
      <c r="E285">
        <v>499</v>
      </c>
      <c r="F285">
        <v>0.56999999999999995</v>
      </c>
      <c r="G285">
        <v>3.5</v>
      </c>
      <c r="H285">
        <v>121</v>
      </c>
    </row>
    <row r="286" spans="1:8" x14ac:dyDescent="0.25">
      <c r="A286" s="1" t="s">
        <v>575</v>
      </c>
      <c r="B286" s="1" t="s">
        <v>576</v>
      </c>
      <c r="C286" s="1" t="s">
        <v>2694</v>
      </c>
      <c r="D286" s="1" t="s">
        <v>2695</v>
      </c>
      <c r="E286">
        <v>800</v>
      </c>
      <c r="F286">
        <v>0.88</v>
      </c>
      <c r="G286">
        <v>3.9</v>
      </c>
      <c r="H286">
        <v>1075</v>
      </c>
    </row>
    <row r="287" spans="1:8" x14ac:dyDescent="0.25">
      <c r="A287" s="1" t="s">
        <v>577</v>
      </c>
      <c r="B287" s="1" t="s">
        <v>578</v>
      </c>
      <c r="C287" s="1" t="s">
        <v>2697</v>
      </c>
      <c r="D287" s="1" t="s">
        <v>2699</v>
      </c>
      <c r="E287">
        <v>35000</v>
      </c>
      <c r="F287">
        <v>0.46</v>
      </c>
      <c r="G287">
        <v>4</v>
      </c>
      <c r="H287">
        <v>1001</v>
      </c>
    </row>
    <row r="288" spans="1:8" x14ac:dyDescent="0.25">
      <c r="A288" s="1" t="s">
        <v>579</v>
      </c>
      <c r="B288" s="1" t="s">
        <v>580</v>
      </c>
      <c r="C288" s="1" t="s">
        <v>2694</v>
      </c>
      <c r="D288" s="1" t="s">
        <v>2695</v>
      </c>
      <c r="E288">
        <v>999</v>
      </c>
      <c r="F288">
        <v>0.75</v>
      </c>
      <c r="G288">
        <v>4.3</v>
      </c>
      <c r="H288">
        <v>112</v>
      </c>
    </row>
    <row r="289" spans="1:8" x14ac:dyDescent="0.25">
      <c r="A289" s="1" t="s">
        <v>581</v>
      </c>
      <c r="B289" s="1" t="s">
        <v>582</v>
      </c>
      <c r="C289" s="1" t="s">
        <v>2697</v>
      </c>
      <c r="D289" s="1" t="s">
        <v>2701</v>
      </c>
      <c r="E289">
        <v>15999</v>
      </c>
      <c r="F289">
        <v>0.5</v>
      </c>
      <c r="G289">
        <v>3.8</v>
      </c>
      <c r="H289">
        <v>3022</v>
      </c>
    </row>
    <row r="290" spans="1:8" x14ac:dyDescent="0.25">
      <c r="A290" s="1" t="s">
        <v>583</v>
      </c>
      <c r="B290" s="1" t="s">
        <v>584</v>
      </c>
      <c r="C290" s="1" t="s">
        <v>2694</v>
      </c>
      <c r="D290" s="1" t="s">
        <v>2695</v>
      </c>
      <c r="E290">
        <v>1600</v>
      </c>
      <c r="F290">
        <v>0.59</v>
      </c>
      <c r="G290">
        <v>4.3</v>
      </c>
      <c r="H290">
        <v>5451</v>
      </c>
    </row>
    <row r="291" spans="1:8" x14ac:dyDescent="0.25">
      <c r="A291" s="1" t="s">
        <v>585</v>
      </c>
      <c r="B291" s="1" t="s">
        <v>166</v>
      </c>
      <c r="C291" s="1" t="s">
        <v>2697</v>
      </c>
      <c r="D291" s="1" t="s">
        <v>2700</v>
      </c>
      <c r="E291">
        <v>2499</v>
      </c>
      <c r="F291">
        <v>0.48</v>
      </c>
      <c r="G291">
        <v>3.3</v>
      </c>
      <c r="H291">
        <v>73</v>
      </c>
    </row>
    <row r="292" spans="1:8" x14ac:dyDescent="0.25">
      <c r="A292" s="1" t="s">
        <v>586</v>
      </c>
      <c r="B292" s="1" t="s">
        <v>587</v>
      </c>
      <c r="C292" s="1" t="s">
        <v>2697</v>
      </c>
      <c r="D292" s="1" t="s">
        <v>2698</v>
      </c>
      <c r="E292">
        <v>1500</v>
      </c>
      <c r="F292">
        <v>0.59</v>
      </c>
      <c r="G292">
        <v>4.5</v>
      </c>
      <c r="H292">
        <v>1029</v>
      </c>
    </row>
    <row r="293" spans="1:8" x14ac:dyDescent="0.25">
      <c r="A293" s="1" t="s">
        <v>588</v>
      </c>
      <c r="B293" s="1" t="s">
        <v>589</v>
      </c>
      <c r="C293" s="1" t="s">
        <v>2697</v>
      </c>
      <c r="D293" s="1" t="s">
        <v>2699</v>
      </c>
      <c r="E293">
        <v>54990</v>
      </c>
      <c r="F293">
        <v>0.4</v>
      </c>
      <c r="G293">
        <v>4.0999999999999996</v>
      </c>
      <c r="H293">
        <v>1555</v>
      </c>
    </row>
    <row r="294" spans="1:8" x14ac:dyDescent="0.25">
      <c r="A294" s="1" t="s">
        <v>590</v>
      </c>
      <c r="B294" s="1" t="s">
        <v>591</v>
      </c>
      <c r="C294" s="1" t="s">
        <v>2697</v>
      </c>
      <c r="D294" s="1" t="s">
        <v>2698</v>
      </c>
      <c r="E294">
        <v>1999</v>
      </c>
      <c r="F294">
        <v>0.7</v>
      </c>
      <c r="G294">
        <v>4.2</v>
      </c>
      <c r="H294">
        <v>47</v>
      </c>
    </row>
    <row r="295" spans="1:8" x14ac:dyDescent="0.25">
      <c r="A295" s="1" t="s">
        <v>592</v>
      </c>
      <c r="B295" s="1" t="s">
        <v>593</v>
      </c>
      <c r="C295" s="1" t="s">
        <v>2694</v>
      </c>
      <c r="D295" s="1" t="s">
        <v>2695</v>
      </c>
      <c r="E295">
        <v>899</v>
      </c>
      <c r="F295">
        <v>0.61</v>
      </c>
      <c r="G295">
        <v>4.0999999999999996</v>
      </c>
      <c r="H295">
        <v>14896</v>
      </c>
    </row>
    <row r="296" spans="1:8" x14ac:dyDescent="0.25">
      <c r="A296" s="1" t="s">
        <v>594</v>
      </c>
      <c r="B296" s="1" t="s">
        <v>595</v>
      </c>
      <c r="C296" s="1" t="s">
        <v>2697</v>
      </c>
      <c r="D296" s="1" t="s">
        <v>2699</v>
      </c>
      <c r="E296">
        <v>50999</v>
      </c>
      <c r="F296">
        <v>0.41</v>
      </c>
      <c r="G296">
        <v>4.4000000000000004</v>
      </c>
      <c r="H296">
        <v>1712</v>
      </c>
    </row>
    <row r="297" spans="1:8" x14ac:dyDescent="0.25">
      <c r="A297" s="1" t="s">
        <v>596</v>
      </c>
      <c r="B297" s="1" t="s">
        <v>494</v>
      </c>
      <c r="C297" s="1" t="s">
        <v>2697</v>
      </c>
      <c r="D297" s="1" t="s">
        <v>2700</v>
      </c>
      <c r="E297">
        <v>399</v>
      </c>
      <c r="F297">
        <v>0.5</v>
      </c>
      <c r="G297">
        <v>4.2</v>
      </c>
      <c r="H297">
        <v>1335</v>
      </c>
    </row>
    <row r="298" spans="1:8" x14ac:dyDescent="0.25">
      <c r="A298" s="1" t="s">
        <v>597</v>
      </c>
      <c r="B298" s="1" t="s">
        <v>598</v>
      </c>
      <c r="C298" s="1" t="s">
        <v>2697</v>
      </c>
      <c r="D298" s="1" t="s">
        <v>2700</v>
      </c>
      <c r="E298">
        <v>699</v>
      </c>
      <c r="F298">
        <v>0.5</v>
      </c>
      <c r="G298">
        <v>3.9</v>
      </c>
      <c r="H298">
        <v>214</v>
      </c>
    </row>
    <row r="299" spans="1:8" x14ac:dyDescent="0.25">
      <c r="A299" s="1" t="s">
        <v>599</v>
      </c>
      <c r="B299" s="1" t="s">
        <v>600</v>
      </c>
      <c r="C299" s="1" t="s">
        <v>2697</v>
      </c>
      <c r="D299" s="1" t="s">
        <v>2702</v>
      </c>
      <c r="E299">
        <v>4500</v>
      </c>
      <c r="F299">
        <v>0.59</v>
      </c>
      <c r="G299">
        <v>4</v>
      </c>
      <c r="H299">
        <v>184</v>
      </c>
    </row>
    <row r="300" spans="1:8" x14ac:dyDescent="0.25">
      <c r="A300" s="1" t="s">
        <v>601</v>
      </c>
      <c r="B300" s="1" t="s">
        <v>602</v>
      </c>
      <c r="C300" s="1" t="s">
        <v>2697</v>
      </c>
      <c r="D300" s="1" t="s">
        <v>2706</v>
      </c>
      <c r="E300">
        <v>28900</v>
      </c>
      <c r="F300">
        <v>0.52</v>
      </c>
      <c r="G300">
        <v>4.5</v>
      </c>
      <c r="H300">
        <v>7</v>
      </c>
    </row>
    <row r="301" spans="1:8" x14ac:dyDescent="0.25">
      <c r="A301" s="1" t="s">
        <v>603</v>
      </c>
      <c r="B301" s="1" t="s">
        <v>604</v>
      </c>
      <c r="C301" s="1" t="s">
        <v>2694</v>
      </c>
      <c r="D301" s="1" t="s">
        <v>2695</v>
      </c>
      <c r="E301">
        <v>449</v>
      </c>
      <c r="F301">
        <v>0.71</v>
      </c>
      <c r="G301">
        <v>3.7</v>
      </c>
      <c r="H301">
        <v>41</v>
      </c>
    </row>
    <row r="302" spans="1:8" x14ac:dyDescent="0.25">
      <c r="A302" s="1" t="s">
        <v>605</v>
      </c>
      <c r="B302" s="1" t="s">
        <v>606</v>
      </c>
      <c r="C302" s="1" t="s">
        <v>2697</v>
      </c>
      <c r="D302" s="1" t="s">
        <v>2698</v>
      </c>
      <c r="E302">
        <v>999</v>
      </c>
      <c r="F302">
        <v>0.62</v>
      </c>
      <c r="G302">
        <v>4.2</v>
      </c>
      <c r="H302">
        <v>12153</v>
      </c>
    </row>
    <row r="303" spans="1:8" x14ac:dyDescent="0.25">
      <c r="A303" s="1" t="s">
        <v>607</v>
      </c>
      <c r="B303" s="1" t="s">
        <v>608</v>
      </c>
      <c r="C303" s="1" t="s">
        <v>2697</v>
      </c>
      <c r="D303" s="1" t="s">
        <v>2698</v>
      </c>
      <c r="E303">
        <v>499</v>
      </c>
      <c r="F303">
        <v>0.63</v>
      </c>
      <c r="G303">
        <v>4.2</v>
      </c>
      <c r="H303">
        <v>25</v>
      </c>
    </row>
    <row r="304" spans="1:8" x14ac:dyDescent="0.25">
      <c r="A304" s="1" t="s">
        <v>609</v>
      </c>
      <c r="B304" s="1" t="s">
        <v>610</v>
      </c>
      <c r="C304" s="1" t="s">
        <v>2694</v>
      </c>
      <c r="D304" s="1" t="s">
        <v>2696</v>
      </c>
      <c r="E304">
        <v>999</v>
      </c>
      <c r="F304">
        <v>0.78</v>
      </c>
      <c r="G304">
        <v>4.2</v>
      </c>
      <c r="H304">
        <v>163</v>
      </c>
    </row>
    <row r="305" spans="1:8" x14ac:dyDescent="0.25">
      <c r="A305" s="1" t="s">
        <v>611</v>
      </c>
      <c r="B305" s="1" t="s">
        <v>612</v>
      </c>
      <c r="C305" s="1" t="s">
        <v>2694</v>
      </c>
      <c r="D305" s="1" t="s">
        <v>2695</v>
      </c>
      <c r="E305">
        <v>999</v>
      </c>
      <c r="F305">
        <v>0.8</v>
      </c>
      <c r="G305">
        <v>4.3</v>
      </c>
      <c r="H305">
        <v>87</v>
      </c>
    </row>
    <row r="306" spans="1:8" x14ac:dyDescent="0.25">
      <c r="A306" s="1" t="s">
        <v>613</v>
      </c>
      <c r="B306" s="1" t="s">
        <v>614</v>
      </c>
      <c r="C306" s="1" t="s">
        <v>2697</v>
      </c>
      <c r="D306" s="1" t="s">
        <v>2698</v>
      </c>
      <c r="E306">
        <v>900</v>
      </c>
      <c r="F306">
        <v>0.45</v>
      </c>
      <c r="G306">
        <v>4.4000000000000004</v>
      </c>
      <c r="H306">
        <v>2165</v>
      </c>
    </row>
    <row r="307" spans="1:8" x14ac:dyDescent="0.25">
      <c r="A307" s="1" t="s">
        <v>615</v>
      </c>
      <c r="B307" s="1" t="s">
        <v>616</v>
      </c>
      <c r="C307" s="1" t="s">
        <v>2697</v>
      </c>
      <c r="D307" s="1" t="s">
        <v>2699</v>
      </c>
      <c r="E307">
        <v>42999</v>
      </c>
      <c r="F307">
        <v>0.37</v>
      </c>
      <c r="G307">
        <v>4.2</v>
      </c>
      <c r="H307">
        <v>1510</v>
      </c>
    </row>
    <row r="308" spans="1:8" x14ac:dyDescent="0.25">
      <c r="A308" s="1" t="s">
        <v>617</v>
      </c>
      <c r="B308" s="1" t="s">
        <v>618</v>
      </c>
      <c r="C308" s="1" t="s">
        <v>2697</v>
      </c>
      <c r="D308" s="1" t="s">
        <v>2702</v>
      </c>
      <c r="E308">
        <v>1052</v>
      </c>
      <c r="F308">
        <v>0.15</v>
      </c>
      <c r="G308">
        <v>4.3</v>
      </c>
      <c r="H308">
        <v>106</v>
      </c>
    </row>
    <row r="309" spans="1:8" x14ac:dyDescent="0.25">
      <c r="A309" s="1" t="s">
        <v>619</v>
      </c>
      <c r="B309" s="1" t="s">
        <v>620</v>
      </c>
      <c r="C309" s="1" t="s">
        <v>2697</v>
      </c>
      <c r="D309" s="1" t="s">
        <v>2699</v>
      </c>
      <c r="E309">
        <v>19990</v>
      </c>
      <c r="F309">
        <v>0.45</v>
      </c>
      <c r="G309">
        <v>3.7</v>
      </c>
      <c r="H309">
        <v>129</v>
      </c>
    </row>
    <row r="310" spans="1:8" x14ac:dyDescent="0.25">
      <c r="A310" s="1" t="s">
        <v>621</v>
      </c>
      <c r="B310" s="1" t="s">
        <v>622</v>
      </c>
      <c r="C310" s="1" t="s">
        <v>2694</v>
      </c>
      <c r="D310" s="1" t="s">
        <v>2695</v>
      </c>
      <c r="E310">
        <v>1099</v>
      </c>
      <c r="F310">
        <v>0.66</v>
      </c>
      <c r="G310">
        <v>4.3</v>
      </c>
      <c r="H310">
        <v>3049</v>
      </c>
    </row>
    <row r="311" spans="1:8" x14ac:dyDescent="0.25">
      <c r="A311" s="1" t="s">
        <v>623</v>
      </c>
      <c r="B311" s="1" t="s">
        <v>624</v>
      </c>
      <c r="C311" s="1" t="s">
        <v>2697</v>
      </c>
      <c r="D311" s="1" t="s">
        <v>2699</v>
      </c>
      <c r="E311">
        <v>25999</v>
      </c>
      <c r="F311">
        <v>0.35</v>
      </c>
      <c r="G311">
        <v>4.2</v>
      </c>
      <c r="H311">
        <v>32840</v>
      </c>
    </row>
    <row r="312" spans="1:8" x14ac:dyDescent="0.25">
      <c r="A312" s="1" t="s">
        <v>625</v>
      </c>
      <c r="B312" s="1" t="s">
        <v>626</v>
      </c>
      <c r="C312" s="1" t="s">
        <v>2697</v>
      </c>
      <c r="D312" s="1" t="s">
        <v>2698</v>
      </c>
      <c r="E312">
        <v>1899</v>
      </c>
      <c r="F312">
        <v>0.63</v>
      </c>
      <c r="G312">
        <v>4.4000000000000004</v>
      </c>
      <c r="H312">
        <v>390</v>
      </c>
    </row>
    <row r="313" spans="1:8" x14ac:dyDescent="0.25">
      <c r="A313" s="1" t="s">
        <v>627</v>
      </c>
      <c r="B313" s="1" t="s">
        <v>628</v>
      </c>
      <c r="C313" s="1" t="s">
        <v>2697</v>
      </c>
      <c r="D313" s="1" t="s">
        <v>2714</v>
      </c>
      <c r="E313">
        <v>3500</v>
      </c>
      <c r="F313">
        <v>0.23</v>
      </c>
      <c r="G313">
        <v>3.5</v>
      </c>
      <c r="H313">
        <v>621</v>
      </c>
    </row>
    <row r="314" spans="1:8" x14ac:dyDescent="0.25">
      <c r="A314" s="1" t="s">
        <v>629</v>
      </c>
      <c r="B314" s="1" t="s">
        <v>630</v>
      </c>
      <c r="C314" s="1" t="s">
        <v>2694</v>
      </c>
      <c r="D314" s="1" t="s">
        <v>2695</v>
      </c>
      <c r="E314">
        <v>599</v>
      </c>
      <c r="F314">
        <v>0.78</v>
      </c>
      <c r="G314">
        <v>4.0999999999999996</v>
      </c>
      <c r="H314">
        <v>265</v>
      </c>
    </row>
    <row r="315" spans="1:8" x14ac:dyDescent="0.25">
      <c r="A315" s="1" t="s">
        <v>631</v>
      </c>
      <c r="B315" s="1" t="s">
        <v>632</v>
      </c>
      <c r="C315" s="1" t="s">
        <v>2694</v>
      </c>
      <c r="D315" s="1" t="s">
        <v>2695</v>
      </c>
      <c r="E315">
        <v>999</v>
      </c>
      <c r="F315">
        <v>0.61</v>
      </c>
      <c r="G315">
        <v>4.3</v>
      </c>
      <c r="H315">
        <v>838</v>
      </c>
    </row>
    <row r="316" spans="1:8" x14ac:dyDescent="0.25">
      <c r="A316" s="1" t="s">
        <v>633</v>
      </c>
      <c r="B316" s="1" t="s">
        <v>634</v>
      </c>
      <c r="C316" s="1" t="s">
        <v>2697</v>
      </c>
      <c r="D316" s="1" t="s">
        <v>2700</v>
      </c>
      <c r="E316">
        <v>600</v>
      </c>
      <c r="F316">
        <v>0.59</v>
      </c>
      <c r="G316">
        <v>4.2</v>
      </c>
      <c r="H316">
        <v>143</v>
      </c>
    </row>
    <row r="317" spans="1:8" x14ac:dyDescent="0.25">
      <c r="A317" s="1" t="s">
        <v>635</v>
      </c>
      <c r="B317" s="1" t="s">
        <v>636</v>
      </c>
      <c r="C317" s="1" t="s">
        <v>2694</v>
      </c>
      <c r="D317" s="1" t="s">
        <v>2695</v>
      </c>
      <c r="E317">
        <v>799</v>
      </c>
      <c r="F317">
        <v>0.63</v>
      </c>
      <c r="G317">
        <v>4</v>
      </c>
      <c r="H317">
        <v>151</v>
      </c>
    </row>
    <row r="318" spans="1:8" x14ac:dyDescent="0.25">
      <c r="A318" s="1" t="s">
        <v>637</v>
      </c>
      <c r="B318" s="1" t="s">
        <v>638</v>
      </c>
      <c r="C318" s="1" t="s">
        <v>2697</v>
      </c>
      <c r="D318" s="1" t="s">
        <v>2700</v>
      </c>
      <c r="E318">
        <v>399</v>
      </c>
      <c r="F318">
        <v>0.38</v>
      </c>
      <c r="G318">
        <v>3.9</v>
      </c>
      <c r="H318">
        <v>200</v>
      </c>
    </row>
    <row r="319" spans="1:8" x14ac:dyDescent="0.25">
      <c r="A319" s="1" t="s">
        <v>639</v>
      </c>
      <c r="B319" s="1" t="s">
        <v>640</v>
      </c>
      <c r="C319" s="1" t="s">
        <v>2697</v>
      </c>
      <c r="D319" s="1" t="s">
        <v>2700</v>
      </c>
      <c r="E319">
        <v>2999</v>
      </c>
      <c r="F319">
        <v>0.54</v>
      </c>
      <c r="G319">
        <v>3.3</v>
      </c>
      <c r="H319">
        <v>227</v>
      </c>
    </row>
    <row r="320" spans="1:8" x14ac:dyDescent="0.25">
      <c r="A320" s="1" t="s">
        <v>641</v>
      </c>
      <c r="B320" s="1" t="s">
        <v>642</v>
      </c>
      <c r="C320" s="1" t="s">
        <v>2697</v>
      </c>
      <c r="D320" s="1" t="s">
        <v>2700</v>
      </c>
      <c r="E320">
        <v>499</v>
      </c>
      <c r="F320">
        <v>0.6</v>
      </c>
      <c r="G320">
        <v>3.8</v>
      </c>
      <c r="H320">
        <v>538</v>
      </c>
    </row>
    <row r="321" spans="1:8" x14ac:dyDescent="0.25">
      <c r="A321" s="1" t="s">
        <v>643</v>
      </c>
      <c r="B321" s="1" t="s">
        <v>644</v>
      </c>
      <c r="C321" s="1" t="s">
        <v>2697</v>
      </c>
      <c r="D321" s="1" t="s">
        <v>2698</v>
      </c>
      <c r="E321">
        <v>599</v>
      </c>
      <c r="F321">
        <v>0.5</v>
      </c>
      <c r="G321">
        <v>4</v>
      </c>
      <c r="H321">
        <v>171</v>
      </c>
    </row>
    <row r="322" spans="1:8" x14ac:dyDescent="0.25">
      <c r="A322" s="1" t="s">
        <v>645</v>
      </c>
      <c r="B322" s="1" t="s">
        <v>646</v>
      </c>
      <c r="C322" s="1" t="s">
        <v>2697</v>
      </c>
      <c r="D322" s="1" t="s">
        <v>2699</v>
      </c>
      <c r="E322">
        <v>14999</v>
      </c>
      <c r="F322">
        <v>0</v>
      </c>
      <c r="G322">
        <v>4.3</v>
      </c>
      <c r="H322">
        <v>27508</v>
      </c>
    </row>
    <row r="323" spans="1:8" x14ac:dyDescent="0.25">
      <c r="A323" s="1" t="s">
        <v>647</v>
      </c>
      <c r="B323" s="1" t="s">
        <v>648</v>
      </c>
      <c r="C323" s="1" t="s">
        <v>2694</v>
      </c>
      <c r="D323" s="1" t="s">
        <v>2695</v>
      </c>
      <c r="E323">
        <v>699</v>
      </c>
      <c r="F323">
        <v>0.56999999999999995</v>
      </c>
      <c r="G323">
        <v>3.9</v>
      </c>
      <c r="H323">
        <v>1454</v>
      </c>
    </row>
    <row r="324" spans="1:8" x14ac:dyDescent="0.25">
      <c r="A324" s="1" t="s">
        <v>649</v>
      </c>
      <c r="B324" s="1" t="s">
        <v>650</v>
      </c>
      <c r="C324" s="1" t="s">
        <v>2697</v>
      </c>
      <c r="D324" s="1" t="s">
        <v>2699</v>
      </c>
      <c r="E324">
        <v>51990</v>
      </c>
      <c r="F324">
        <v>0.52</v>
      </c>
      <c r="G324">
        <v>4.2</v>
      </c>
      <c r="H324">
        <v>2951</v>
      </c>
    </row>
    <row r="325" spans="1:8" x14ac:dyDescent="0.25">
      <c r="A325" s="1" t="s">
        <v>651</v>
      </c>
      <c r="B325" s="1" t="s">
        <v>652</v>
      </c>
      <c r="C325" s="1" t="s">
        <v>2697</v>
      </c>
      <c r="D325" s="1" t="s">
        <v>2699</v>
      </c>
      <c r="E325">
        <v>69999</v>
      </c>
      <c r="F325">
        <v>0.11</v>
      </c>
      <c r="G325">
        <v>4.0999999999999996</v>
      </c>
      <c r="H325">
        <v>6753</v>
      </c>
    </row>
    <row r="326" spans="1:8" x14ac:dyDescent="0.25">
      <c r="A326" s="1" t="s">
        <v>653</v>
      </c>
      <c r="B326" s="1" t="s">
        <v>654</v>
      </c>
      <c r="C326" s="1" t="s">
        <v>2697</v>
      </c>
      <c r="D326" s="1" t="s">
        <v>2699</v>
      </c>
      <c r="E326">
        <v>50000</v>
      </c>
      <c r="F326">
        <v>0.51</v>
      </c>
      <c r="G326">
        <v>3.9</v>
      </c>
      <c r="H326">
        <v>3518</v>
      </c>
    </row>
    <row r="327" spans="1:8" x14ac:dyDescent="0.25">
      <c r="A327" s="1" t="s">
        <v>655</v>
      </c>
      <c r="B327" s="1" t="s">
        <v>656</v>
      </c>
      <c r="C327" s="1" t="s">
        <v>2697</v>
      </c>
      <c r="D327" s="1" t="s">
        <v>2699</v>
      </c>
      <c r="E327">
        <v>19499</v>
      </c>
      <c r="F327">
        <v>0.46</v>
      </c>
      <c r="G327">
        <v>4.2</v>
      </c>
      <c r="H327">
        <v>1510</v>
      </c>
    </row>
    <row r="328" spans="1:8" x14ac:dyDescent="0.25">
      <c r="A328" s="1" t="s">
        <v>657</v>
      </c>
      <c r="B328" s="1" t="s">
        <v>658</v>
      </c>
      <c r="C328" s="1" t="s">
        <v>2694</v>
      </c>
      <c r="D328" s="1" t="s">
        <v>2695</v>
      </c>
      <c r="E328">
        <v>999</v>
      </c>
      <c r="F328">
        <v>0.65</v>
      </c>
      <c r="G328">
        <v>4.3</v>
      </c>
      <c r="H328">
        <v>838</v>
      </c>
    </row>
    <row r="329" spans="1:8" x14ac:dyDescent="0.25">
      <c r="A329" s="1" t="s">
        <v>659</v>
      </c>
      <c r="B329" s="1" t="s">
        <v>660</v>
      </c>
      <c r="C329" s="1" t="s">
        <v>2697</v>
      </c>
      <c r="D329" s="1" t="s">
        <v>2700</v>
      </c>
      <c r="E329">
        <v>499</v>
      </c>
      <c r="F329">
        <v>0.61</v>
      </c>
      <c r="G329">
        <v>3.8</v>
      </c>
      <c r="H329">
        <v>136</v>
      </c>
    </row>
    <row r="330" spans="1:8" x14ac:dyDescent="0.25">
      <c r="A330" s="1" t="s">
        <v>661</v>
      </c>
      <c r="B330" s="1" t="s">
        <v>662</v>
      </c>
      <c r="C330" s="1" t="s">
        <v>2697</v>
      </c>
      <c r="D330" s="1" t="s">
        <v>2708</v>
      </c>
      <c r="E330">
        <v>2499</v>
      </c>
      <c r="F330">
        <v>0.48</v>
      </c>
      <c r="G330">
        <v>4.3</v>
      </c>
      <c r="H330">
        <v>301</v>
      </c>
    </row>
    <row r="331" spans="1:8" x14ac:dyDescent="0.25">
      <c r="A331" s="1" t="s">
        <v>663</v>
      </c>
      <c r="B331" s="1" t="s">
        <v>664</v>
      </c>
      <c r="C331" s="1" t="s">
        <v>2694</v>
      </c>
      <c r="D331" s="1" t="s">
        <v>2695</v>
      </c>
      <c r="E331">
        <v>1899</v>
      </c>
      <c r="F331">
        <v>0.2</v>
      </c>
      <c r="G331">
        <v>4.4000000000000004</v>
      </c>
      <c r="H331">
        <v>19763</v>
      </c>
    </row>
    <row r="332" spans="1:8" x14ac:dyDescent="0.25">
      <c r="A332" s="1" t="s">
        <v>665</v>
      </c>
      <c r="B332" s="1" t="s">
        <v>666</v>
      </c>
      <c r="C332" s="1" t="s">
        <v>2697</v>
      </c>
      <c r="D332" s="1" t="s">
        <v>2699</v>
      </c>
      <c r="E332">
        <v>69999</v>
      </c>
      <c r="F332">
        <v>0.33</v>
      </c>
      <c r="G332">
        <v>4.3</v>
      </c>
      <c r="H332">
        <v>21252</v>
      </c>
    </row>
    <row r="333" spans="1:8" x14ac:dyDescent="0.25">
      <c r="A333" s="1" t="s">
        <v>667</v>
      </c>
      <c r="B333" s="1" t="s">
        <v>668</v>
      </c>
      <c r="C333" s="1" t="s">
        <v>2694</v>
      </c>
      <c r="D333" s="1" t="s">
        <v>2695</v>
      </c>
      <c r="E333">
        <v>799</v>
      </c>
      <c r="F333">
        <v>0.63</v>
      </c>
      <c r="G333">
        <v>4.3</v>
      </c>
      <c r="H333">
        <v>1902</v>
      </c>
    </row>
    <row r="334" spans="1:8" x14ac:dyDescent="0.25">
      <c r="A334" s="1" t="s">
        <v>669</v>
      </c>
      <c r="B334" s="1" t="s">
        <v>670</v>
      </c>
      <c r="C334" s="1" t="s">
        <v>2697</v>
      </c>
      <c r="D334" s="1" t="s">
        <v>2715</v>
      </c>
      <c r="E334">
        <v>19999</v>
      </c>
      <c r="F334">
        <v>0.91</v>
      </c>
      <c r="G334">
        <v>4.2</v>
      </c>
      <c r="H334">
        <v>13937</v>
      </c>
    </row>
    <row r="335" spans="1:8" x14ac:dyDescent="0.25">
      <c r="A335" s="1" t="s">
        <v>671</v>
      </c>
      <c r="B335" s="1" t="s">
        <v>672</v>
      </c>
      <c r="C335" s="1" t="s">
        <v>2697</v>
      </c>
      <c r="D335" s="1" t="s">
        <v>2715</v>
      </c>
      <c r="E335">
        <v>9999</v>
      </c>
      <c r="F335">
        <v>0.8</v>
      </c>
      <c r="G335">
        <v>4.3</v>
      </c>
      <c r="H335">
        <v>27696</v>
      </c>
    </row>
    <row r="336" spans="1:8" x14ac:dyDescent="0.25">
      <c r="A336" s="1" t="s">
        <v>673</v>
      </c>
      <c r="B336" s="1" t="s">
        <v>674</v>
      </c>
      <c r="C336" s="1" t="s">
        <v>2697</v>
      </c>
      <c r="D336" s="1" t="s">
        <v>2715</v>
      </c>
      <c r="E336">
        <v>7990</v>
      </c>
      <c r="F336">
        <v>0.75</v>
      </c>
      <c r="G336">
        <v>3.8</v>
      </c>
      <c r="H336">
        <v>17831</v>
      </c>
    </row>
    <row r="337" spans="1:8" x14ac:dyDescent="0.25">
      <c r="A337" s="1" t="s">
        <v>675</v>
      </c>
      <c r="B337" s="1" t="s">
        <v>676</v>
      </c>
      <c r="C337" s="1" t="s">
        <v>2697</v>
      </c>
      <c r="D337" s="1" t="s">
        <v>2716</v>
      </c>
      <c r="E337">
        <v>2199</v>
      </c>
      <c r="F337">
        <v>7.0000000000000007E-2</v>
      </c>
      <c r="G337">
        <v>4.3</v>
      </c>
      <c r="H337">
        <v>178912</v>
      </c>
    </row>
    <row r="338" spans="1:8" x14ac:dyDescent="0.25">
      <c r="A338" s="1" t="s">
        <v>677</v>
      </c>
      <c r="B338" s="1" t="s">
        <v>678</v>
      </c>
      <c r="C338" s="1" t="s">
        <v>2697</v>
      </c>
      <c r="D338" s="1" t="s">
        <v>2717</v>
      </c>
      <c r="E338">
        <v>8999</v>
      </c>
      <c r="F338">
        <v>0.28000000000000003</v>
      </c>
      <c r="G338">
        <v>4</v>
      </c>
      <c r="H338">
        <v>7807</v>
      </c>
    </row>
    <row r="339" spans="1:8" x14ac:dyDescent="0.25">
      <c r="A339" s="1" t="s">
        <v>679</v>
      </c>
      <c r="B339" s="1" t="s">
        <v>680</v>
      </c>
      <c r="C339" s="1" t="s">
        <v>2697</v>
      </c>
      <c r="D339" s="1" t="s">
        <v>2717</v>
      </c>
      <c r="E339">
        <v>28999</v>
      </c>
      <c r="F339">
        <v>0</v>
      </c>
      <c r="G339">
        <v>4.3</v>
      </c>
      <c r="H339">
        <v>17415</v>
      </c>
    </row>
    <row r="340" spans="1:8" x14ac:dyDescent="0.25">
      <c r="A340" s="1" t="s">
        <v>681</v>
      </c>
      <c r="B340" s="1" t="s">
        <v>682</v>
      </c>
      <c r="C340" s="1" t="s">
        <v>2697</v>
      </c>
      <c r="D340" s="1" t="s">
        <v>2717</v>
      </c>
      <c r="E340">
        <v>28999</v>
      </c>
      <c r="F340">
        <v>0</v>
      </c>
      <c r="G340">
        <v>4.3</v>
      </c>
      <c r="H340">
        <v>17415</v>
      </c>
    </row>
    <row r="341" spans="1:8" x14ac:dyDescent="0.25">
      <c r="A341" s="1" t="s">
        <v>683</v>
      </c>
      <c r="B341" s="1" t="s">
        <v>684</v>
      </c>
      <c r="C341" s="1" t="s">
        <v>2697</v>
      </c>
      <c r="D341" s="1" t="s">
        <v>2717</v>
      </c>
      <c r="E341">
        <v>8999</v>
      </c>
      <c r="F341">
        <v>0.28000000000000003</v>
      </c>
      <c r="G341">
        <v>4</v>
      </c>
      <c r="H341">
        <v>7807</v>
      </c>
    </row>
    <row r="342" spans="1:8" x14ac:dyDescent="0.25">
      <c r="A342" s="1" t="s">
        <v>685</v>
      </c>
      <c r="B342" s="1" t="s">
        <v>686</v>
      </c>
      <c r="C342" s="1" t="s">
        <v>2697</v>
      </c>
      <c r="D342" s="1" t="s">
        <v>2717</v>
      </c>
      <c r="E342">
        <v>8999</v>
      </c>
      <c r="F342">
        <v>0.28000000000000003</v>
      </c>
      <c r="G342">
        <v>4</v>
      </c>
      <c r="H342">
        <v>7807</v>
      </c>
    </row>
    <row r="343" spans="1:8" x14ac:dyDescent="0.25">
      <c r="A343" s="1" t="s">
        <v>687</v>
      </c>
      <c r="B343" s="1" t="s">
        <v>688</v>
      </c>
      <c r="C343" s="1" t="s">
        <v>2697</v>
      </c>
      <c r="D343" s="1" t="s">
        <v>2718</v>
      </c>
      <c r="E343">
        <v>1000</v>
      </c>
      <c r="F343">
        <v>0.43</v>
      </c>
      <c r="G343">
        <v>4.4000000000000004</v>
      </c>
      <c r="H343">
        <v>67259</v>
      </c>
    </row>
    <row r="344" spans="1:8" x14ac:dyDescent="0.25">
      <c r="A344" s="1" t="s">
        <v>689</v>
      </c>
      <c r="B344" s="1" t="s">
        <v>690</v>
      </c>
      <c r="C344" s="1" t="s">
        <v>2697</v>
      </c>
      <c r="D344" s="1" t="s">
        <v>2715</v>
      </c>
      <c r="E344">
        <v>4999</v>
      </c>
      <c r="F344">
        <v>0.62</v>
      </c>
      <c r="G344">
        <v>4.0999999999999996</v>
      </c>
      <c r="H344">
        <v>10689</v>
      </c>
    </row>
    <row r="345" spans="1:8" x14ac:dyDescent="0.25">
      <c r="A345" s="1" t="s">
        <v>691</v>
      </c>
      <c r="B345" s="1" t="s">
        <v>692</v>
      </c>
      <c r="C345" s="1" t="s">
        <v>2697</v>
      </c>
      <c r="D345" s="1" t="s">
        <v>2719</v>
      </c>
      <c r="E345">
        <v>1599</v>
      </c>
      <c r="F345">
        <v>0.19</v>
      </c>
      <c r="G345">
        <v>4</v>
      </c>
      <c r="H345">
        <v>128311</v>
      </c>
    </row>
    <row r="346" spans="1:8" x14ac:dyDescent="0.25">
      <c r="A346" s="1" t="s">
        <v>693</v>
      </c>
      <c r="B346" s="1" t="s">
        <v>694</v>
      </c>
      <c r="C346" s="1" t="s">
        <v>2697</v>
      </c>
      <c r="D346" s="1" t="s">
        <v>2715</v>
      </c>
      <c r="E346">
        <v>6990</v>
      </c>
      <c r="F346">
        <v>0.79</v>
      </c>
      <c r="G346">
        <v>3.9</v>
      </c>
      <c r="H346">
        <v>21796</v>
      </c>
    </row>
    <row r="347" spans="1:8" x14ac:dyDescent="0.25">
      <c r="A347" s="1" t="s">
        <v>695</v>
      </c>
      <c r="B347" s="1" t="s">
        <v>696</v>
      </c>
      <c r="C347" s="1" t="s">
        <v>2697</v>
      </c>
      <c r="D347" s="1" t="s">
        <v>2720</v>
      </c>
      <c r="E347">
        <v>999</v>
      </c>
      <c r="F347">
        <v>0.4</v>
      </c>
      <c r="G347">
        <v>4.0999999999999996</v>
      </c>
      <c r="H347">
        <v>192590</v>
      </c>
    </row>
    <row r="348" spans="1:8" x14ac:dyDescent="0.25">
      <c r="A348" s="1" t="s">
        <v>697</v>
      </c>
      <c r="B348" s="1" t="s">
        <v>698</v>
      </c>
      <c r="C348" s="1" t="s">
        <v>2697</v>
      </c>
      <c r="D348" s="1" t="s">
        <v>2717</v>
      </c>
      <c r="E348">
        <v>11999</v>
      </c>
      <c r="F348">
        <v>0.21</v>
      </c>
      <c r="G348">
        <v>4.2</v>
      </c>
      <c r="H348">
        <v>284</v>
      </c>
    </row>
    <row r="349" spans="1:8" x14ac:dyDescent="0.25">
      <c r="A349" s="1" t="s">
        <v>699</v>
      </c>
      <c r="B349" s="1" t="s">
        <v>700</v>
      </c>
      <c r="C349" s="1" t="s">
        <v>2697</v>
      </c>
      <c r="D349" s="1" t="s">
        <v>2720</v>
      </c>
      <c r="E349">
        <v>2499</v>
      </c>
      <c r="F349">
        <v>0.76</v>
      </c>
      <c r="G349">
        <v>3.9</v>
      </c>
      <c r="H349">
        <v>58162</v>
      </c>
    </row>
    <row r="350" spans="1:8" x14ac:dyDescent="0.25">
      <c r="A350" s="1" t="s">
        <v>701</v>
      </c>
      <c r="B350" s="1" t="s">
        <v>702</v>
      </c>
      <c r="C350" s="1" t="s">
        <v>2697</v>
      </c>
      <c r="D350" s="1" t="s">
        <v>2717</v>
      </c>
      <c r="E350">
        <v>11999</v>
      </c>
      <c r="F350">
        <v>0.25</v>
      </c>
      <c r="G350">
        <v>4</v>
      </c>
      <c r="H350">
        <v>12796</v>
      </c>
    </row>
    <row r="351" spans="1:8" x14ac:dyDescent="0.25">
      <c r="A351" s="1" t="s">
        <v>703</v>
      </c>
      <c r="B351" s="1" t="s">
        <v>704</v>
      </c>
      <c r="C351" s="1" t="s">
        <v>2697</v>
      </c>
      <c r="D351" s="1" t="s">
        <v>2721</v>
      </c>
      <c r="E351">
        <v>1299</v>
      </c>
      <c r="F351">
        <v>0.73</v>
      </c>
      <c r="G351">
        <v>4</v>
      </c>
      <c r="H351">
        <v>14282</v>
      </c>
    </row>
    <row r="352" spans="1:8" x14ac:dyDescent="0.25">
      <c r="A352" s="1" t="s">
        <v>705</v>
      </c>
      <c r="B352" s="1" t="s">
        <v>706</v>
      </c>
      <c r="C352" s="1" t="s">
        <v>2697</v>
      </c>
      <c r="D352" s="1" t="s">
        <v>2720</v>
      </c>
      <c r="E352">
        <v>999</v>
      </c>
      <c r="F352">
        <v>0.65</v>
      </c>
      <c r="G352">
        <v>4.0999999999999996</v>
      </c>
      <c r="H352">
        <v>363713</v>
      </c>
    </row>
    <row r="353" spans="1:8" x14ac:dyDescent="0.25">
      <c r="A353" s="1" t="s">
        <v>707</v>
      </c>
      <c r="B353" s="1" t="s">
        <v>708</v>
      </c>
      <c r="C353" s="1" t="s">
        <v>2697</v>
      </c>
      <c r="D353" s="1" t="s">
        <v>2718</v>
      </c>
      <c r="E353">
        <v>1800</v>
      </c>
      <c r="F353">
        <v>0.47</v>
      </c>
      <c r="G353">
        <v>4.4000000000000004</v>
      </c>
      <c r="H353">
        <v>67259</v>
      </c>
    </row>
    <row r="354" spans="1:8" x14ac:dyDescent="0.25">
      <c r="A354" s="1" t="s">
        <v>709</v>
      </c>
      <c r="B354" s="1" t="s">
        <v>710</v>
      </c>
      <c r="C354" s="1" t="s">
        <v>2697</v>
      </c>
      <c r="D354" s="1" t="s">
        <v>2717</v>
      </c>
      <c r="E354">
        <v>11999</v>
      </c>
      <c r="F354">
        <v>0.21</v>
      </c>
      <c r="G354">
        <v>4.2</v>
      </c>
      <c r="H354">
        <v>284</v>
      </c>
    </row>
    <row r="355" spans="1:8" x14ac:dyDescent="0.25">
      <c r="A355" s="1" t="s">
        <v>711</v>
      </c>
      <c r="B355" s="1" t="s">
        <v>712</v>
      </c>
      <c r="C355" s="1" t="s">
        <v>2697</v>
      </c>
      <c r="D355" s="1" t="s">
        <v>2716</v>
      </c>
      <c r="E355">
        <v>2499</v>
      </c>
      <c r="F355">
        <v>0.4</v>
      </c>
      <c r="G355">
        <v>4.3</v>
      </c>
      <c r="H355">
        <v>15970</v>
      </c>
    </row>
    <row r="356" spans="1:8" x14ac:dyDescent="0.25">
      <c r="A356" s="1" t="s">
        <v>713</v>
      </c>
      <c r="B356" s="1" t="s">
        <v>714</v>
      </c>
      <c r="C356" s="1" t="s">
        <v>2697</v>
      </c>
      <c r="D356" s="1" t="s">
        <v>2716</v>
      </c>
      <c r="E356">
        <v>2199</v>
      </c>
      <c r="F356">
        <v>0.48</v>
      </c>
      <c r="G356">
        <v>4.3</v>
      </c>
      <c r="H356">
        <v>178912</v>
      </c>
    </row>
    <row r="357" spans="1:8" x14ac:dyDescent="0.25">
      <c r="A357" s="1" t="s">
        <v>715</v>
      </c>
      <c r="B357" s="1" t="s">
        <v>716</v>
      </c>
      <c r="C357" s="1" t="s">
        <v>2697</v>
      </c>
      <c r="D357" s="1" t="s">
        <v>2722</v>
      </c>
      <c r="E357">
        <v>999</v>
      </c>
      <c r="F357">
        <v>0.65</v>
      </c>
      <c r="G357">
        <v>3.9</v>
      </c>
      <c r="H357">
        <v>46399</v>
      </c>
    </row>
    <row r="358" spans="1:8" x14ac:dyDescent="0.25">
      <c r="A358" s="1" t="s">
        <v>717</v>
      </c>
      <c r="B358" s="1" t="s">
        <v>718</v>
      </c>
      <c r="C358" s="1" t="s">
        <v>2697</v>
      </c>
      <c r="D358" s="1" t="s">
        <v>2723</v>
      </c>
      <c r="E358">
        <v>1699</v>
      </c>
      <c r="F358">
        <v>0.28000000000000003</v>
      </c>
      <c r="G358">
        <v>4.4000000000000004</v>
      </c>
      <c r="H358">
        <v>8891</v>
      </c>
    </row>
    <row r="359" spans="1:8" x14ac:dyDescent="0.25">
      <c r="A359" s="1" t="s">
        <v>719</v>
      </c>
      <c r="B359" s="1" t="s">
        <v>720</v>
      </c>
      <c r="C359" s="1" t="s">
        <v>2697</v>
      </c>
      <c r="D359" s="1" t="s">
        <v>2715</v>
      </c>
      <c r="E359">
        <v>3999</v>
      </c>
      <c r="F359">
        <v>0.6</v>
      </c>
      <c r="G359">
        <v>4</v>
      </c>
      <c r="H359">
        <v>30254</v>
      </c>
    </row>
    <row r="360" spans="1:8" x14ac:dyDescent="0.25">
      <c r="A360" s="1" t="s">
        <v>721</v>
      </c>
      <c r="B360" s="1" t="s">
        <v>722</v>
      </c>
      <c r="C360" s="1" t="s">
        <v>2697</v>
      </c>
      <c r="D360" s="1" t="s">
        <v>2715</v>
      </c>
      <c r="E360">
        <v>7999</v>
      </c>
      <c r="F360">
        <v>0.81</v>
      </c>
      <c r="G360">
        <v>4.2</v>
      </c>
      <c r="H360">
        <v>22636</v>
      </c>
    </row>
    <row r="361" spans="1:8" x14ac:dyDescent="0.25">
      <c r="A361" s="1" t="s">
        <v>723</v>
      </c>
      <c r="B361" s="1" t="s">
        <v>724</v>
      </c>
      <c r="C361" s="1" t="s">
        <v>2697</v>
      </c>
      <c r="D361" s="1" t="s">
        <v>2717</v>
      </c>
      <c r="E361">
        <v>25999</v>
      </c>
      <c r="F361">
        <v>0.28999999999999998</v>
      </c>
      <c r="G361">
        <v>4.0999999999999996</v>
      </c>
      <c r="H361">
        <v>22318</v>
      </c>
    </row>
    <row r="362" spans="1:8" x14ac:dyDescent="0.25">
      <c r="A362" s="1" t="s">
        <v>725</v>
      </c>
      <c r="B362" s="1" t="s">
        <v>726</v>
      </c>
      <c r="C362" s="1" t="s">
        <v>2697</v>
      </c>
      <c r="D362" s="1" t="s">
        <v>2718</v>
      </c>
      <c r="E362">
        <v>700</v>
      </c>
      <c r="F362">
        <v>0.47</v>
      </c>
      <c r="G362">
        <v>4.4000000000000004</v>
      </c>
      <c r="H362">
        <v>67259</v>
      </c>
    </row>
    <row r="363" spans="1:8" x14ac:dyDescent="0.25">
      <c r="A363" s="1" t="s">
        <v>727</v>
      </c>
      <c r="B363" s="1" t="s">
        <v>728</v>
      </c>
      <c r="C363" s="1" t="s">
        <v>2697</v>
      </c>
      <c r="D363" s="1" t="s">
        <v>2717</v>
      </c>
      <c r="E363">
        <v>17999</v>
      </c>
      <c r="F363">
        <v>0.28000000000000003</v>
      </c>
      <c r="G363">
        <v>4.0999999999999996</v>
      </c>
      <c r="H363">
        <v>18998</v>
      </c>
    </row>
    <row r="364" spans="1:8" x14ac:dyDescent="0.25">
      <c r="A364" s="1" t="s">
        <v>729</v>
      </c>
      <c r="B364" s="1" t="s">
        <v>670</v>
      </c>
      <c r="C364" s="1" t="s">
        <v>2697</v>
      </c>
      <c r="D364" s="1" t="s">
        <v>2715</v>
      </c>
      <c r="E364">
        <v>19999</v>
      </c>
      <c r="F364">
        <v>0.91</v>
      </c>
      <c r="G364">
        <v>4.2</v>
      </c>
      <c r="H364">
        <v>13937</v>
      </c>
    </row>
    <row r="365" spans="1:8" x14ac:dyDescent="0.25">
      <c r="A365" s="1" t="s">
        <v>730</v>
      </c>
      <c r="B365" s="1" t="s">
        <v>731</v>
      </c>
      <c r="C365" s="1" t="s">
        <v>2697</v>
      </c>
      <c r="D365" s="1" t="s">
        <v>2715</v>
      </c>
      <c r="E365">
        <v>9999</v>
      </c>
      <c r="F365">
        <v>0.78</v>
      </c>
      <c r="G365">
        <v>4.2</v>
      </c>
      <c r="H365">
        <v>29471</v>
      </c>
    </row>
    <row r="366" spans="1:8" x14ac:dyDescent="0.25">
      <c r="A366" s="1" t="s">
        <v>732</v>
      </c>
      <c r="B366" s="1" t="s">
        <v>733</v>
      </c>
      <c r="C366" s="1" t="s">
        <v>2697</v>
      </c>
      <c r="D366" s="1" t="s">
        <v>2717</v>
      </c>
      <c r="E366">
        <v>24999</v>
      </c>
      <c r="F366">
        <v>0.32</v>
      </c>
      <c r="G366">
        <v>4.0999999999999996</v>
      </c>
      <c r="H366">
        <v>22318</v>
      </c>
    </row>
    <row r="367" spans="1:8" x14ac:dyDescent="0.25">
      <c r="A367" s="1" t="s">
        <v>734</v>
      </c>
      <c r="B367" s="1" t="s">
        <v>735</v>
      </c>
      <c r="C367" s="1" t="s">
        <v>2697</v>
      </c>
      <c r="D367" s="1" t="s">
        <v>2717</v>
      </c>
      <c r="E367">
        <v>20999</v>
      </c>
      <c r="F367">
        <v>0.21</v>
      </c>
      <c r="G367">
        <v>4</v>
      </c>
      <c r="H367">
        <v>21350</v>
      </c>
    </row>
    <row r="368" spans="1:8" x14ac:dyDescent="0.25">
      <c r="A368" s="1" t="s">
        <v>736</v>
      </c>
      <c r="B368" s="1" t="s">
        <v>670</v>
      </c>
      <c r="C368" s="1" t="s">
        <v>2697</v>
      </c>
      <c r="D368" s="1" t="s">
        <v>2715</v>
      </c>
      <c r="E368">
        <v>19999</v>
      </c>
      <c r="F368">
        <v>0.91</v>
      </c>
      <c r="G368">
        <v>4.2</v>
      </c>
      <c r="H368">
        <v>13937</v>
      </c>
    </row>
    <row r="369" spans="1:8" x14ac:dyDescent="0.25">
      <c r="A369" s="1" t="s">
        <v>737</v>
      </c>
      <c r="B369" s="1" t="s">
        <v>738</v>
      </c>
      <c r="C369" s="1" t="s">
        <v>2697</v>
      </c>
      <c r="D369" s="1" t="s">
        <v>2717</v>
      </c>
      <c r="E369">
        <v>10999</v>
      </c>
      <c r="F369">
        <v>0.23</v>
      </c>
      <c r="G369">
        <v>4.0999999999999996</v>
      </c>
      <c r="H369">
        <v>313836</v>
      </c>
    </row>
    <row r="370" spans="1:8" x14ac:dyDescent="0.25">
      <c r="A370" s="1" t="s">
        <v>739</v>
      </c>
      <c r="B370" s="1" t="s">
        <v>740</v>
      </c>
      <c r="C370" s="1" t="s">
        <v>2697</v>
      </c>
      <c r="D370" s="1" t="s">
        <v>2717</v>
      </c>
      <c r="E370">
        <v>8499</v>
      </c>
      <c r="F370">
        <v>0.24</v>
      </c>
      <c r="G370">
        <v>4.0999999999999996</v>
      </c>
      <c r="H370">
        <v>313836</v>
      </c>
    </row>
    <row r="371" spans="1:8" x14ac:dyDescent="0.25">
      <c r="A371" s="1" t="s">
        <v>741</v>
      </c>
      <c r="B371" s="1" t="s">
        <v>670</v>
      </c>
      <c r="C371" s="1" t="s">
        <v>2697</v>
      </c>
      <c r="D371" s="1" t="s">
        <v>2715</v>
      </c>
      <c r="E371">
        <v>19999</v>
      </c>
      <c r="F371">
        <v>0.91</v>
      </c>
      <c r="G371">
        <v>4.2</v>
      </c>
      <c r="H371">
        <v>13937</v>
      </c>
    </row>
    <row r="372" spans="1:8" x14ac:dyDescent="0.25">
      <c r="A372" s="1" t="s">
        <v>742</v>
      </c>
      <c r="B372" s="1" t="s">
        <v>743</v>
      </c>
      <c r="C372" s="1" t="s">
        <v>2697</v>
      </c>
      <c r="D372" s="1" t="s">
        <v>2717</v>
      </c>
      <c r="E372">
        <v>11999</v>
      </c>
      <c r="F372">
        <v>0.25</v>
      </c>
      <c r="G372">
        <v>4</v>
      </c>
      <c r="H372">
        <v>12796</v>
      </c>
    </row>
    <row r="373" spans="1:8" x14ac:dyDescent="0.25">
      <c r="A373" s="1" t="s">
        <v>744</v>
      </c>
      <c r="B373" s="1" t="s">
        <v>745</v>
      </c>
      <c r="C373" s="1" t="s">
        <v>2697</v>
      </c>
      <c r="D373" s="1" t="s">
        <v>2724</v>
      </c>
      <c r="E373">
        <v>495</v>
      </c>
      <c r="F373">
        <v>0.72</v>
      </c>
      <c r="G373">
        <v>4.3</v>
      </c>
      <c r="H373">
        <v>14185</v>
      </c>
    </row>
    <row r="374" spans="1:8" x14ac:dyDescent="0.25">
      <c r="A374" s="1" t="s">
        <v>746</v>
      </c>
      <c r="B374" s="1" t="s">
        <v>747</v>
      </c>
      <c r="C374" s="1" t="s">
        <v>2697</v>
      </c>
      <c r="D374" s="1" t="s">
        <v>2715</v>
      </c>
      <c r="E374">
        <v>16999</v>
      </c>
      <c r="F374">
        <v>0.76</v>
      </c>
      <c r="G374">
        <v>4.3</v>
      </c>
      <c r="H374">
        <v>17159</v>
      </c>
    </row>
    <row r="375" spans="1:8" x14ac:dyDescent="0.25">
      <c r="A375" s="1" t="s">
        <v>748</v>
      </c>
      <c r="B375" s="1" t="s">
        <v>749</v>
      </c>
      <c r="C375" s="1" t="s">
        <v>2697</v>
      </c>
      <c r="D375" s="1" t="s">
        <v>2715</v>
      </c>
      <c r="E375">
        <v>5999</v>
      </c>
      <c r="F375">
        <v>0.5</v>
      </c>
      <c r="G375">
        <v>4.0999999999999996</v>
      </c>
      <c r="H375">
        <v>5179</v>
      </c>
    </row>
    <row r="376" spans="1:8" x14ac:dyDescent="0.25">
      <c r="A376" s="1" t="s">
        <v>750</v>
      </c>
      <c r="B376" s="1" t="s">
        <v>751</v>
      </c>
      <c r="C376" s="1" t="s">
        <v>2697</v>
      </c>
      <c r="D376" s="1" t="s">
        <v>2717</v>
      </c>
      <c r="E376">
        <v>18999</v>
      </c>
      <c r="F376">
        <v>0.18</v>
      </c>
      <c r="G376">
        <v>4.0999999999999996</v>
      </c>
      <c r="H376">
        <v>19252</v>
      </c>
    </row>
    <row r="377" spans="1:8" x14ac:dyDescent="0.25">
      <c r="A377" s="1" t="s">
        <v>752</v>
      </c>
      <c r="B377" s="1" t="s">
        <v>670</v>
      </c>
      <c r="C377" s="1" t="s">
        <v>2697</v>
      </c>
      <c r="D377" s="1" t="s">
        <v>2715</v>
      </c>
      <c r="E377">
        <v>19999</v>
      </c>
      <c r="F377">
        <v>0.91</v>
      </c>
      <c r="G377">
        <v>4.2</v>
      </c>
      <c r="H377">
        <v>13937</v>
      </c>
    </row>
    <row r="378" spans="1:8" x14ac:dyDescent="0.25">
      <c r="A378" s="1" t="s">
        <v>753</v>
      </c>
      <c r="B378" s="1" t="s">
        <v>754</v>
      </c>
      <c r="C378" s="1" t="s">
        <v>2697</v>
      </c>
      <c r="D378" s="1" t="s">
        <v>2717</v>
      </c>
      <c r="E378">
        <v>11999</v>
      </c>
      <c r="F378">
        <v>0.25</v>
      </c>
      <c r="G378">
        <v>4</v>
      </c>
      <c r="H378">
        <v>12796</v>
      </c>
    </row>
    <row r="379" spans="1:8" x14ac:dyDescent="0.25">
      <c r="A379" s="1" t="s">
        <v>755</v>
      </c>
      <c r="B379" s="1" t="s">
        <v>756</v>
      </c>
      <c r="C379" s="1" t="s">
        <v>2697</v>
      </c>
      <c r="D379" s="1" t="s">
        <v>2721</v>
      </c>
      <c r="E379">
        <v>1699</v>
      </c>
      <c r="F379">
        <v>0.49</v>
      </c>
      <c r="G379">
        <v>4.4000000000000004</v>
      </c>
      <c r="H379">
        <v>1680</v>
      </c>
    </row>
    <row r="380" spans="1:8" x14ac:dyDescent="0.25">
      <c r="A380" s="1" t="s">
        <v>757</v>
      </c>
      <c r="B380" s="1" t="s">
        <v>758</v>
      </c>
      <c r="C380" s="1" t="s">
        <v>2697</v>
      </c>
      <c r="D380" s="1" t="s">
        <v>2717</v>
      </c>
      <c r="E380">
        <v>15999</v>
      </c>
      <c r="F380">
        <v>0.19</v>
      </c>
      <c r="G380">
        <v>4.2</v>
      </c>
      <c r="H380">
        <v>13246</v>
      </c>
    </row>
    <row r="381" spans="1:8" x14ac:dyDescent="0.25">
      <c r="A381" s="1" t="s">
        <v>759</v>
      </c>
      <c r="B381" s="1" t="s">
        <v>760</v>
      </c>
      <c r="C381" s="1" t="s">
        <v>2697</v>
      </c>
      <c r="D381" s="1" t="s">
        <v>2725</v>
      </c>
      <c r="E381">
        <v>1599</v>
      </c>
      <c r="F381">
        <v>0.66</v>
      </c>
      <c r="G381">
        <v>3.8</v>
      </c>
      <c r="H381">
        <v>14648</v>
      </c>
    </row>
    <row r="382" spans="1:8" x14ac:dyDescent="0.25">
      <c r="A382" s="1" t="s">
        <v>761</v>
      </c>
      <c r="B382" s="1" t="s">
        <v>672</v>
      </c>
      <c r="C382" s="1" t="s">
        <v>2697</v>
      </c>
      <c r="D382" s="1" t="s">
        <v>2715</v>
      </c>
      <c r="E382">
        <v>9999</v>
      </c>
      <c r="F382">
        <v>0.8</v>
      </c>
      <c r="G382">
        <v>4.3</v>
      </c>
      <c r="H382">
        <v>27696</v>
      </c>
    </row>
    <row r="383" spans="1:8" x14ac:dyDescent="0.25">
      <c r="A383" s="1" t="s">
        <v>762</v>
      </c>
      <c r="B383" s="1" t="s">
        <v>763</v>
      </c>
      <c r="C383" s="1" t="s">
        <v>2697</v>
      </c>
      <c r="D383" s="1" t="s">
        <v>2717</v>
      </c>
      <c r="E383">
        <v>20990</v>
      </c>
      <c r="F383">
        <v>0.26</v>
      </c>
      <c r="G383">
        <v>4.2</v>
      </c>
      <c r="H383">
        <v>32916</v>
      </c>
    </row>
    <row r="384" spans="1:8" x14ac:dyDescent="0.25">
      <c r="A384" s="1" t="s">
        <v>764</v>
      </c>
      <c r="B384" s="1" t="s">
        <v>765</v>
      </c>
      <c r="C384" s="1" t="s">
        <v>2697</v>
      </c>
      <c r="D384" s="1" t="s">
        <v>2717</v>
      </c>
      <c r="E384">
        <v>24999</v>
      </c>
      <c r="F384">
        <v>0.2</v>
      </c>
      <c r="G384">
        <v>3.9</v>
      </c>
      <c r="H384">
        <v>25824</v>
      </c>
    </row>
    <row r="385" spans="1:8" x14ac:dyDescent="0.25">
      <c r="A385" s="1" t="s">
        <v>766</v>
      </c>
      <c r="B385" s="1" t="s">
        <v>767</v>
      </c>
      <c r="C385" s="1" t="s">
        <v>2697</v>
      </c>
      <c r="D385" s="1" t="s">
        <v>2723</v>
      </c>
      <c r="E385">
        <v>1699</v>
      </c>
      <c r="F385">
        <v>0.37</v>
      </c>
      <c r="G385">
        <v>4.4000000000000004</v>
      </c>
      <c r="H385">
        <v>7462</v>
      </c>
    </row>
    <row r="386" spans="1:8" x14ac:dyDescent="0.25">
      <c r="A386" s="1" t="s">
        <v>768</v>
      </c>
      <c r="B386" s="1" t="s">
        <v>769</v>
      </c>
      <c r="C386" s="1" t="s">
        <v>2697</v>
      </c>
      <c r="D386" s="1" t="s">
        <v>2720</v>
      </c>
      <c r="E386">
        <v>699</v>
      </c>
      <c r="F386">
        <v>0.43</v>
      </c>
      <c r="G386">
        <v>4</v>
      </c>
      <c r="H386">
        <v>37817</v>
      </c>
    </row>
    <row r="387" spans="1:8" x14ac:dyDescent="0.25">
      <c r="A387" s="1" t="s">
        <v>770</v>
      </c>
      <c r="B387" s="1" t="s">
        <v>771</v>
      </c>
      <c r="C387" s="1" t="s">
        <v>2697</v>
      </c>
      <c r="D387" s="1" t="s">
        <v>2715</v>
      </c>
      <c r="E387">
        <v>3990</v>
      </c>
      <c r="F387">
        <v>0.5</v>
      </c>
      <c r="G387">
        <v>4</v>
      </c>
      <c r="H387">
        <v>30254</v>
      </c>
    </row>
    <row r="388" spans="1:8" x14ac:dyDescent="0.25">
      <c r="A388" s="1" t="s">
        <v>772</v>
      </c>
      <c r="B388" s="1" t="s">
        <v>773</v>
      </c>
      <c r="C388" s="1" t="s">
        <v>2697</v>
      </c>
      <c r="D388" s="1" t="s">
        <v>2715</v>
      </c>
      <c r="E388">
        <v>7990</v>
      </c>
      <c r="F388">
        <v>0.75</v>
      </c>
      <c r="G388">
        <v>3.8</v>
      </c>
      <c r="H388">
        <v>17831</v>
      </c>
    </row>
    <row r="389" spans="1:8" x14ac:dyDescent="0.25">
      <c r="A389" s="1" t="s">
        <v>774</v>
      </c>
      <c r="B389" s="1" t="s">
        <v>775</v>
      </c>
      <c r="C389" s="1" t="s">
        <v>2697</v>
      </c>
      <c r="D389" s="1" t="s">
        <v>2717</v>
      </c>
      <c r="E389">
        <v>34999</v>
      </c>
      <c r="F389">
        <v>0.17</v>
      </c>
      <c r="G389">
        <v>4.4000000000000004</v>
      </c>
      <c r="H389">
        <v>20311</v>
      </c>
    </row>
    <row r="390" spans="1:8" x14ac:dyDescent="0.25">
      <c r="A390" s="1" t="s">
        <v>776</v>
      </c>
      <c r="B390" s="1" t="s">
        <v>777</v>
      </c>
      <c r="C390" s="1" t="s">
        <v>2697</v>
      </c>
      <c r="D390" s="1" t="s">
        <v>2715</v>
      </c>
      <c r="E390">
        <v>7990</v>
      </c>
      <c r="F390">
        <v>0.71</v>
      </c>
      <c r="G390">
        <v>4.2</v>
      </c>
      <c r="H390">
        <v>69622</v>
      </c>
    </row>
    <row r="391" spans="1:8" x14ac:dyDescent="0.25">
      <c r="A391" s="1" t="s">
        <v>778</v>
      </c>
      <c r="B391" s="1" t="s">
        <v>779</v>
      </c>
      <c r="C391" s="1" t="s">
        <v>2697</v>
      </c>
      <c r="D391" s="1" t="s">
        <v>2726</v>
      </c>
      <c r="E391">
        <v>1999</v>
      </c>
      <c r="F391">
        <v>0.8</v>
      </c>
      <c r="G391">
        <v>4</v>
      </c>
      <c r="H391">
        <v>3382</v>
      </c>
    </row>
    <row r="392" spans="1:8" x14ac:dyDescent="0.25">
      <c r="A392" s="1" t="s">
        <v>780</v>
      </c>
      <c r="B392" s="1" t="s">
        <v>781</v>
      </c>
      <c r="C392" s="1" t="s">
        <v>2697</v>
      </c>
      <c r="D392" s="1" t="s">
        <v>2718</v>
      </c>
      <c r="E392">
        <v>3999</v>
      </c>
      <c r="F392">
        <v>0.71</v>
      </c>
      <c r="G392">
        <v>4.3</v>
      </c>
      <c r="H392">
        <v>140036</v>
      </c>
    </row>
    <row r="393" spans="1:8" x14ac:dyDescent="0.25">
      <c r="A393" s="1" t="s">
        <v>782</v>
      </c>
      <c r="B393" s="1" t="s">
        <v>783</v>
      </c>
      <c r="C393" s="1" t="s">
        <v>2697</v>
      </c>
      <c r="D393" s="1" t="s">
        <v>2723</v>
      </c>
      <c r="E393">
        <v>1499</v>
      </c>
      <c r="F393">
        <v>0.65</v>
      </c>
      <c r="G393">
        <v>4.0999999999999996</v>
      </c>
      <c r="H393">
        <v>8599</v>
      </c>
    </row>
    <row r="394" spans="1:8" x14ac:dyDescent="0.25">
      <c r="A394" s="1" t="s">
        <v>784</v>
      </c>
      <c r="B394" s="1" t="s">
        <v>785</v>
      </c>
      <c r="C394" s="1" t="s">
        <v>2697</v>
      </c>
      <c r="D394" s="1" t="s">
        <v>2717</v>
      </c>
      <c r="E394">
        <v>19499</v>
      </c>
      <c r="F394">
        <v>0.28000000000000003</v>
      </c>
      <c r="G394">
        <v>4.0999999999999996</v>
      </c>
      <c r="H394">
        <v>18998</v>
      </c>
    </row>
    <row r="395" spans="1:8" x14ac:dyDescent="0.25">
      <c r="A395" s="1" t="s">
        <v>786</v>
      </c>
      <c r="B395" s="1" t="s">
        <v>787</v>
      </c>
      <c r="C395" s="1" t="s">
        <v>2697</v>
      </c>
      <c r="D395" s="1" t="s">
        <v>2720</v>
      </c>
      <c r="E395">
        <v>999</v>
      </c>
      <c r="F395">
        <v>0.62</v>
      </c>
      <c r="G395">
        <v>4.0999999999999996</v>
      </c>
      <c r="H395">
        <v>363713</v>
      </c>
    </row>
    <row r="396" spans="1:8" x14ac:dyDescent="0.25">
      <c r="A396" s="1" t="s">
        <v>788</v>
      </c>
      <c r="B396" s="1" t="s">
        <v>789</v>
      </c>
      <c r="C396" s="1" t="s">
        <v>2697</v>
      </c>
      <c r="D396" s="1" t="s">
        <v>2717</v>
      </c>
      <c r="E396">
        <v>19999</v>
      </c>
      <c r="F396">
        <v>0.3</v>
      </c>
      <c r="G396">
        <v>4.0999999999999996</v>
      </c>
      <c r="H396">
        <v>19252</v>
      </c>
    </row>
    <row r="397" spans="1:8" x14ac:dyDescent="0.25">
      <c r="A397" s="1" t="s">
        <v>790</v>
      </c>
      <c r="B397" s="1" t="s">
        <v>791</v>
      </c>
      <c r="C397" s="1" t="s">
        <v>2697</v>
      </c>
      <c r="D397" s="1" t="s">
        <v>2715</v>
      </c>
      <c r="E397">
        <v>9999</v>
      </c>
      <c r="F397">
        <v>0.6</v>
      </c>
      <c r="G397">
        <v>4.4000000000000004</v>
      </c>
      <c r="H397">
        <v>73</v>
      </c>
    </row>
    <row r="398" spans="1:8" x14ac:dyDescent="0.25">
      <c r="A398" s="1" t="s">
        <v>792</v>
      </c>
      <c r="B398" s="1" t="s">
        <v>793</v>
      </c>
      <c r="C398" s="1" t="s">
        <v>2697</v>
      </c>
      <c r="D398" s="1" t="s">
        <v>2727</v>
      </c>
      <c r="E398">
        <v>499</v>
      </c>
      <c r="F398">
        <v>0.8</v>
      </c>
      <c r="G398">
        <v>4.3</v>
      </c>
      <c r="H398">
        <v>42641</v>
      </c>
    </row>
    <row r="399" spans="1:8" x14ac:dyDescent="0.25">
      <c r="A399" s="1" t="s">
        <v>794</v>
      </c>
      <c r="B399" s="1" t="s">
        <v>795</v>
      </c>
      <c r="C399" s="1" t="s">
        <v>2697</v>
      </c>
      <c r="D399" s="1" t="s">
        <v>2720</v>
      </c>
      <c r="E399">
        <v>15990</v>
      </c>
      <c r="F399">
        <v>0.7</v>
      </c>
      <c r="G399">
        <v>4</v>
      </c>
      <c r="H399">
        <v>4390</v>
      </c>
    </row>
    <row r="400" spans="1:8" x14ac:dyDescent="0.25">
      <c r="A400" s="1" t="s">
        <v>796</v>
      </c>
      <c r="B400" s="1" t="s">
        <v>797</v>
      </c>
      <c r="C400" s="1" t="s">
        <v>2697</v>
      </c>
      <c r="D400" s="1" t="s">
        <v>2717</v>
      </c>
      <c r="E400">
        <v>33999</v>
      </c>
      <c r="F400">
        <v>0</v>
      </c>
      <c r="G400">
        <v>4.3</v>
      </c>
      <c r="H400">
        <v>17415</v>
      </c>
    </row>
    <row r="401" spans="1:8" x14ac:dyDescent="0.25">
      <c r="A401" s="1" t="s">
        <v>798</v>
      </c>
      <c r="B401" s="1" t="s">
        <v>799</v>
      </c>
      <c r="C401" s="1" t="s">
        <v>2694</v>
      </c>
      <c r="D401" s="1" t="s">
        <v>2728</v>
      </c>
      <c r="E401">
        <v>999</v>
      </c>
      <c r="F401">
        <v>0.9</v>
      </c>
      <c r="G401">
        <v>4</v>
      </c>
      <c r="H401">
        <v>1396</v>
      </c>
    </row>
    <row r="402" spans="1:8" x14ac:dyDescent="0.25">
      <c r="A402" s="1" t="s">
        <v>800</v>
      </c>
      <c r="B402" s="1" t="s">
        <v>801</v>
      </c>
      <c r="C402" s="1" t="s">
        <v>2697</v>
      </c>
      <c r="D402" s="1" t="s">
        <v>2720</v>
      </c>
      <c r="E402">
        <v>1900</v>
      </c>
      <c r="F402">
        <v>0.84</v>
      </c>
      <c r="G402">
        <v>3.6</v>
      </c>
      <c r="H402">
        <v>18202</v>
      </c>
    </row>
    <row r="403" spans="1:8" x14ac:dyDescent="0.25">
      <c r="A403" s="1" t="s">
        <v>802</v>
      </c>
      <c r="B403" s="1" t="s">
        <v>803</v>
      </c>
      <c r="C403" s="1" t="s">
        <v>2697</v>
      </c>
      <c r="D403" s="1" t="s">
        <v>2717</v>
      </c>
      <c r="E403">
        <v>14999</v>
      </c>
      <c r="F403">
        <v>0.27</v>
      </c>
      <c r="G403">
        <v>4.0999999999999996</v>
      </c>
      <c r="H403">
        <v>18998</v>
      </c>
    </row>
    <row r="404" spans="1:8" x14ac:dyDescent="0.25">
      <c r="A404" s="1" t="s">
        <v>804</v>
      </c>
      <c r="B404" s="1" t="s">
        <v>805</v>
      </c>
      <c r="C404" s="1" t="s">
        <v>2697</v>
      </c>
      <c r="D404" s="1" t="s">
        <v>2717</v>
      </c>
      <c r="E404">
        <v>38999</v>
      </c>
      <c r="F404">
        <v>0.1</v>
      </c>
      <c r="G404">
        <v>4.2</v>
      </c>
      <c r="H404">
        <v>11029</v>
      </c>
    </row>
    <row r="405" spans="1:8" x14ac:dyDescent="0.25">
      <c r="A405" s="1" t="s">
        <v>806</v>
      </c>
      <c r="B405" s="1" t="s">
        <v>733</v>
      </c>
      <c r="C405" s="1" t="s">
        <v>2697</v>
      </c>
      <c r="D405" s="1" t="s">
        <v>2717</v>
      </c>
      <c r="E405">
        <v>24999</v>
      </c>
      <c r="F405">
        <v>0.32</v>
      </c>
      <c r="G405">
        <v>4.0999999999999996</v>
      </c>
      <c r="H405">
        <v>22318</v>
      </c>
    </row>
    <row r="406" spans="1:8" x14ac:dyDescent="0.25">
      <c r="A406" s="1" t="s">
        <v>807</v>
      </c>
      <c r="B406" s="1" t="s">
        <v>808</v>
      </c>
      <c r="C406" s="1" t="s">
        <v>2697</v>
      </c>
      <c r="D406" s="1" t="s">
        <v>2727</v>
      </c>
      <c r="E406">
        <v>499</v>
      </c>
      <c r="F406">
        <v>0.6</v>
      </c>
      <c r="G406">
        <v>4.0999999999999996</v>
      </c>
      <c r="H406">
        <v>1786</v>
      </c>
    </row>
    <row r="407" spans="1:8" x14ac:dyDescent="0.25">
      <c r="A407" s="1" t="s">
        <v>809</v>
      </c>
      <c r="B407" s="1" t="s">
        <v>810</v>
      </c>
      <c r="C407" s="1" t="s">
        <v>2697</v>
      </c>
      <c r="D407" s="1" t="s">
        <v>2716</v>
      </c>
      <c r="E407">
        <v>1599</v>
      </c>
      <c r="F407">
        <v>0.38</v>
      </c>
      <c r="G407">
        <v>4</v>
      </c>
      <c r="H407">
        <v>7222</v>
      </c>
    </row>
    <row r="408" spans="1:8" x14ac:dyDescent="0.25">
      <c r="A408" s="1" t="s">
        <v>811</v>
      </c>
      <c r="B408" s="1" t="s">
        <v>812</v>
      </c>
      <c r="C408" s="1" t="s">
        <v>2697</v>
      </c>
      <c r="D408" s="1" t="s">
        <v>2719</v>
      </c>
      <c r="E408">
        <v>1599</v>
      </c>
      <c r="F408">
        <v>0.19</v>
      </c>
      <c r="G408">
        <v>4</v>
      </c>
      <c r="H408">
        <v>128311</v>
      </c>
    </row>
    <row r="409" spans="1:8" x14ac:dyDescent="0.25">
      <c r="A409" s="1" t="s">
        <v>813</v>
      </c>
      <c r="B409" s="1" t="s">
        <v>814</v>
      </c>
      <c r="C409" s="1" t="s">
        <v>2697</v>
      </c>
      <c r="D409" s="1" t="s">
        <v>2720</v>
      </c>
      <c r="E409">
        <v>1800</v>
      </c>
      <c r="F409">
        <v>0.67</v>
      </c>
      <c r="G409">
        <v>3.5</v>
      </c>
      <c r="H409">
        <v>83996</v>
      </c>
    </row>
    <row r="410" spans="1:8" x14ac:dyDescent="0.25">
      <c r="A410" s="1" t="s">
        <v>815</v>
      </c>
      <c r="B410" s="1" t="s">
        <v>816</v>
      </c>
      <c r="C410" s="1" t="s">
        <v>2697</v>
      </c>
      <c r="D410" s="1" t="s">
        <v>2718</v>
      </c>
      <c r="E410">
        <v>1899</v>
      </c>
      <c r="F410">
        <v>0.68</v>
      </c>
      <c r="G410">
        <v>4.3</v>
      </c>
      <c r="H410">
        <v>140036</v>
      </c>
    </row>
    <row r="411" spans="1:8" x14ac:dyDescent="0.25">
      <c r="A411" s="1" t="s">
        <v>817</v>
      </c>
      <c r="B411" s="1" t="s">
        <v>818</v>
      </c>
      <c r="C411" s="1" t="s">
        <v>2697</v>
      </c>
      <c r="D411" s="1" t="s">
        <v>2716</v>
      </c>
      <c r="E411">
        <v>2499</v>
      </c>
      <c r="F411">
        <v>0.28000000000000003</v>
      </c>
      <c r="G411">
        <v>4.0999999999999996</v>
      </c>
      <c r="H411">
        <v>18678</v>
      </c>
    </row>
    <row r="412" spans="1:8" x14ac:dyDescent="0.25">
      <c r="A412" s="1" t="s">
        <v>819</v>
      </c>
      <c r="B412" s="1" t="s">
        <v>820</v>
      </c>
      <c r="C412" s="1" t="s">
        <v>2697</v>
      </c>
      <c r="D412" s="1" t="s">
        <v>2717</v>
      </c>
      <c r="E412">
        <v>14999</v>
      </c>
      <c r="F412">
        <v>0.27</v>
      </c>
      <c r="G412">
        <v>4.0999999999999996</v>
      </c>
      <c r="H412">
        <v>18998</v>
      </c>
    </row>
    <row r="413" spans="1:8" x14ac:dyDescent="0.25">
      <c r="A413" s="1" t="s">
        <v>821</v>
      </c>
      <c r="B413" s="1" t="s">
        <v>822</v>
      </c>
      <c r="C413" s="1" t="s">
        <v>2697</v>
      </c>
      <c r="D413" s="1" t="s">
        <v>2715</v>
      </c>
      <c r="E413">
        <v>7990</v>
      </c>
      <c r="F413">
        <v>0.62</v>
      </c>
      <c r="G413">
        <v>4.0999999999999996</v>
      </c>
      <c r="H413">
        <v>48449</v>
      </c>
    </row>
    <row r="414" spans="1:8" x14ac:dyDescent="0.25">
      <c r="A414" s="1" t="s">
        <v>823</v>
      </c>
      <c r="B414" s="1" t="s">
        <v>824</v>
      </c>
      <c r="C414" s="1" t="s">
        <v>2697</v>
      </c>
      <c r="D414" s="1" t="s">
        <v>2715</v>
      </c>
      <c r="E414">
        <v>7990</v>
      </c>
      <c r="F414">
        <v>0.75</v>
      </c>
      <c r="G414">
        <v>3.8</v>
      </c>
      <c r="H414">
        <v>17831</v>
      </c>
    </row>
    <row r="415" spans="1:8" x14ac:dyDescent="0.25">
      <c r="A415" s="1" t="s">
        <v>825</v>
      </c>
      <c r="B415" s="1" t="s">
        <v>826</v>
      </c>
      <c r="C415" s="1" t="s">
        <v>2697</v>
      </c>
      <c r="D415" s="1" t="s">
        <v>2723</v>
      </c>
      <c r="E415">
        <v>999</v>
      </c>
      <c r="F415">
        <v>0.35</v>
      </c>
      <c r="G415">
        <v>4.2</v>
      </c>
      <c r="H415">
        <v>1315</v>
      </c>
    </row>
    <row r="416" spans="1:8" x14ac:dyDescent="0.25">
      <c r="A416" s="1" t="s">
        <v>827</v>
      </c>
      <c r="B416" s="1" t="s">
        <v>785</v>
      </c>
      <c r="C416" s="1" t="s">
        <v>2697</v>
      </c>
      <c r="D416" s="1" t="s">
        <v>2717</v>
      </c>
      <c r="E416">
        <v>19499</v>
      </c>
      <c r="F416">
        <v>0.28000000000000003</v>
      </c>
      <c r="G416">
        <v>4.0999999999999996</v>
      </c>
      <c r="H416">
        <v>18998</v>
      </c>
    </row>
    <row r="417" spans="1:8" x14ac:dyDescent="0.25">
      <c r="A417" s="1" t="s">
        <v>828</v>
      </c>
      <c r="B417" s="1" t="s">
        <v>829</v>
      </c>
      <c r="C417" s="1" t="s">
        <v>2697</v>
      </c>
      <c r="D417" s="1" t="s">
        <v>2729</v>
      </c>
      <c r="E417">
        <v>299</v>
      </c>
      <c r="F417">
        <v>0.6</v>
      </c>
      <c r="G417">
        <v>4.0999999999999996</v>
      </c>
      <c r="H417">
        <v>5999</v>
      </c>
    </row>
    <row r="418" spans="1:8" x14ac:dyDescent="0.25">
      <c r="A418" s="1" t="s">
        <v>830</v>
      </c>
      <c r="B418" s="1" t="s">
        <v>831</v>
      </c>
      <c r="C418" s="1" t="s">
        <v>2697</v>
      </c>
      <c r="D418" s="1" t="s">
        <v>2717</v>
      </c>
      <c r="E418">
        <v>17999</v>
      </c>
      <c r="F418">
        <v>0.28000000000000003</v>
      </c>
      <c r="G418">
        <v>4.0999999999999996</v>
      </c>
      <c r="H418">
        <v>50772</v>
      </c>
    </row>
    <row r="419" spans="1:8" x14ac:dyDescent="0.25">
      <c r="A419" s="1" t="s">
        <v>832</v>
      </c>
      <c r="B419" s="1" t="s">
        <v>833</v>
      </c>
      <c r="C419" s="1" t="s">
        <v>2697</v>
      </c>
      <c r="D419" s="1" t="s">
        <v>2717</v>
      </c>
      <c r="E419">
        <v>26999</v>
      </c>
      <c r="F419">
        <v>0.22</v>
      </c>
      <c r="G419">
        <v>3.9</v>
      </c>
      <c r="H419">
        <v>25824</v>
      </c>
    </row>
    <row r="420" spans="1:8" x14ac:dyDescent="0.25">
      <c r="A420" s="1" t="s">
        <v>834</v>
      </c>
      <c r="B420" s="1" t="s">
        <v>835</v>
      </c>
      <c r="C420" s="1" t="s">
        <v>2697</v>
      </c>
      <c r="D420" s="1" t="s">
        <v>2723</v>
      </c>
      <c r="E420">
        <v>649</v>
      </c>
      <c r="F420">
        <v>0.62</v>
      </c>
      <c r="G420">
        <v>4</v>
      </c>
      <c r="H420">
        <v>14404</v>
      </c>
    </row>
    <row r="421" spans="1:8" x14ac:dyDescent="0.25">
      <c r="A421" s="1" t="s">
        <v>836</v>
      </c>
      <c r="B421" s="1" t="s">
        <v>837</v>
      </c>
      <c r="C421" s="1" t="s">
        <v>2697</v>
      </c>
      <c r="D421" s="1" t="s">
        <v>2723</v>
      </c>
      <c r="E421">
        <v>171</v>
      </c>
      <c r="F421">
        <v>0.42</v>
      </c>
      <c r="G421">
        <v>4.5</v>
      </c>
      <c r="H421">
        <v>11339</v>
      </c>
    </row>
    <row r="422" spans="1:8" x14ac:dyDescent="0.25">
      <c r="A422" s="1" t="s">
        <v>838</v>
      </c>
      <c r="B422" s="1" t="s">
        <v>839</v>
      </c>
      <c r="C422" s="1" t="s">
        <v>2697</v>
      </c>
      <c r="D422" s="1" t="s">
        <v>2722</v>
      </c>
      <c r="E422">
        <v>1999</v>
      </c>
      <c r="F422">
        <v>0.76</v>
      </c>
      <c r="G422">
        <v>4</v>
      </c>
      <c r="H422">
        <v>3626</v>
      </c>
    </row>
    <row r="423" spans="1:8" x14ac:dyDescent="0.25">
      <c r="A423" s="1" t="s">
        <v>840</v>
      </c>
      <c r="B423" s="1" t="s">
        <v>841</v>
      </c>
      <c r="C423" s="1" t="s">
        <v>2697</v>
      </c>
      <c r="D423" s="1" t="s">
        <v>2718</v>
      </c>
      <c r="E423">
        <v>1600</v>
      </c>
      <c r="F423">
        <v>0.77</v>
      </c>
      <c r="G423">
        <v>4</v>
      </c>
      <c r="H423">
        <v>32625</v>
      </c>
    </row>
    <row r="424" spans="1:8" x14ac:dyDescent="0.25">
      <c r="A424" s="1" t="s">
        <v>842</v>
      </c>
      <c r="B424" s="1" t="s">
        <v>843</v>
      </c>
      <c r="C424" s="1" t="s">
        <v>2697</v>
      </c>
      <c r="D424" s="1" t="s">
        <v>2717</v>
      </c>
      <c r="E424">
        <v>20999</v>
      </c>
      <c r="F424">
        <v>0.26</v>
      </c>
      <c r="G424">
        <v>4.0999999999999996</v>
      </c>
      <c r="H424">
        <v>19252</v>
      </c>
    </row>
    <row r="425" spans="1:8" x14ac:dyDescent="0.25">
      <c r="A425" s="1" t="s">
        <v>844</v>
      </c>
      <c r="B425" s="1" t="s">
        <v>845</v>
      </c>
      <c r="C425" s="1" t="s">
        <v>2697</v>
      </c>
      <c r="D425" s="1" t="s">
        <v>2717</v>
      </c>
      <c r="E425">
        <v>18999</v>
      </c>
      <c r="F425">
        <v>0.18</v>
      </c>
      <c r="G425">
        <v>4.0999999999999996</v>
      </c>
      <c r="H425">
        <v>19252</v>
      </c>
    </row>
    <row r="426" spans="1:8" x14ac:dyDescent="0.25">
      <c r="A426" s="1" t="s">
        <v>846</v>
      </c>
      <c r="B426" s="1" t="s">
        <v>847</v>
      </c>
      <c r="C426" s="1" t="s">
        <v>2697</v>
      </c>
      <c r="D426" s="1" t="s">
        <v>2717</v>
      </c>
      <c r="E426">
        <v>28999</v>
      </c>
      <c r="F426">
        <v>0.21</v>
      </c>
      <c r="G426">
        <v>3.9</v>
      </c>
      <c r="H426">
        <v>25824</v>
      </c>
    </row>
    <row r="427" spans="1:8" x14ac:dyDescent="0.25">
      <c r="A427" s="1" t="s">
        <v>848</v>
      </c>
      <c r="B427" s="1" t="s">
        <v>849</v>
      </c>
      <c r="C427" s="1" t="s">
        <v>2697</v>
      </c>
      <c r="D427" s="1" t="s">
        <v>2720</v>
      </c>
      <c r="E427">
        <v>1490</v>
      </c>
      <c r="F427">
        <v>0.6</v>
      </c>
      <c r="G427">
        <v>4.0999999999999996</v>
      </c>
      <c r="H427">
        <v>161679</v>
      </c>
    </row>
    <row r="428" spans="1:8" x14ac:dyDescent="0.25">
      <c r="A428" s="1" t="s">
        <v>850</v>
      </c>
      <c r="B428" s="1" t="s">
        <v>851</v>
      </c>
      <c r="C428" s="1" t="s">
        <v>2697</v>
      </c>
      <c r="D428" s="1" t="s">
        <v>2727</v>
      </c>
      <c r="E428">
        <v>699</v>
      </c>
      <c r="F428">
        <v>0.81</v>
      </c>
      <c r="G428">
        <v>4.0999999999999996</v>
      </c>
      <c r="H428">
        <v>16685</v>
      </c>
    </row>
    <row r="429" spans="1:8" x14ac:dyDescent="0.25">
      <c r="A429" s="1" t="s">
        <v>852</v>
      </c>
      <c r="B429" s="1" t="s">
        <v>853</v>
      </c>
      <c r="C429" s="1" t="s">
        <v>2697</v>
      </c>
      <c r="D429" s="1" t="s">
        <v>2717</v>
      </c>
      <c r="E429">
        <v>7999</v>
      </c>
      <c r="F429">
        <v>0.06</v>
      </c>
      <c r="G429">
        <v>4</v>
      </c>
      <c r="H429">
        <v>30907</v>
      </c>
    </row>
    <row r="430" spans="1:8" x14ac:dyDescent="0.25">
      <c r="A430" s="1" t="s">
        <v>854</v>
      </c>
      <c r="B430" s="1" t="s">
        <v>855</v>
      </c>
      <c r="C430" s="1" t="s">
        <v>2697</v>
      </c>
      <c r="D430" s="1" t="s">
        <v>2716</v>
      </c>
      <c r="E430">
        <v>2199</v>
      </c>
      <c r="F430">
        <v>0.48</v>
      </c>
      <c r="G430">
        <v>4.3</v>
      </c>
      <c r="H430">
        <v>178912</v>
      </c>
    </row>
    <row r="431" spans="1:8" x14ac:dyDescent="0.25">
      <c r="A431" s="1" t="s">
        <v>856</v>
      </c>
      <c r="B431" s="1" t="s">
        <v>857</v>
      </c>
      <c r="C431" s="1" t="s">
        <v>2697</v>
      </c>
      <c r="D431" s="1" t="s">
        <v>2719</v>
      </c>
      <c r="E431">
        <v>1699</v>
      </c>
      <c r="F431">
        <v>0.22</v>
      </c>
      <c r="G431">
        <v>4</v>
      </c>
      <c r="H431">
        <v>128311</v>
      </c>
    </row>
    <row r="432" spans="1:8" x14ac:dyDescent="0.25">
      <c r="A432" s="1" t="s">
        <v>858</v>
      </c>
      <c r="B432" s="1" t="s">
        <v>859</v>
      </c>
      <c r="C432" s="1" t="s">
        <v>2697</v>
      </c>
      <c r="D432" s="1" t="s">
        <v>2717</v>
      </c>
      <c r="E432">
        <v>19999</v>
      </c>
      <c r="F432">
        <v>0.3</v>
      </c>
      <c r="G432">
        <v>4.0999999999999996</v>
      </c>
      <c r="H432">
        <v>19252</v>
      </c>
    </row>
    <row r="433" spans="1:8" x14ac:dyDescent="0.25">
      <c r="A433" s="1" t="s">
        <v>860</v>
      </c>
      <c r="B433" s="1" t="s">
        <v>861</v>
      </c>
      <c r="C433" s="1" t="s">
        <v>2697</v>
      </c>
      <c r="D433" s="1" t="s">
        <v>2716</v>
      </c>
      <c r="E433">
        <v>1599</v>
      </c>
      <c r="F433">
        <v>0.38</v>
      </c>
      <c r="G433">
        <v>4</v>
      </c>
      <c r="H433">
        <v>7222</v>
      </c>
    </row>
    <row r="434" spans="1:8" x14ac:dyDescent="0.25">
      <c r="A434" s="1" t="s">
        <v>862</v>
      </c>
      <c r="B434" s="1" t="s">
        <v>863</v>
      </c>
      <c r="C434" s="1" t="s">
        <v>2697</v>
      </c>
      <c r="D434" s="1" t="s">
        <v>2717</v>
      </c>
      <c r="E434">
        <v>17999</v>
      </c>
      <c r="F434">
        <v>0.28000000000000003</v>
      </c>
      <c r="G434">
        <v>4.0999999999999996</v>
      </c>
      <c r="H434">
        <v>18998</v>
      </c>
    </row>
    <row r="435" spans="1:8" x14ac:dyDescent="0.25">
      <c r="A435" s="1" t="s">
        <v>864</v>
      </c>
      <c r="B435" s="1" t="s">
        <v>865</v>
      </c>
      <c r="C435" s="1" t="s">
        <v>2697</v>
      </c>
      <c r="D435" s="1" t="s">
        <v>2717</v>
      </c>
      <c r="E435">
        <v>20990</v>
      </c>
      <c r="F435">
        <v>0.26</v>
      </c>
      <c r="G435">
        <v>4.2</v>
      </c>
      <c r="H435">
        <v>32916</v>
      </c>
    </row>
    <row r="436" spans="1:8" x14ac:dyDescent="0.25">
      <c r="A436" s="1" t="s">
        <v>866</v>
      </c>
      <c r="B436" s="1" t="s">
        <v>867</v>
      </c>
      <c r="C436" s="1" t="s">
        <v>2697</v>
      </c>
      <c r="D436" s="1" t="s">
        <v>2730</v>
      </c>
      <c r="E436">
        <v>2899</v>
      </c>
      <c r="F436">
        <v>0.66</v>
      </c>
      <c r="G436">
        <v>4.5999999999999996</v>
      </c>
      <c r="H436">
        <v>26603</v>
      </c>
    </row>
    <row r="437" spans="1:8" x14ac:dyDescent="0.25">
      <c r="A437" s="1" t="s">
        <v>868</v>
      </c>
      <c r="B437" s="1" t="s">
        <v>869</v>
      </c>
      <c r="C437" s="1" t="s">
        <v>2697</v>
      </c>
      <c r="D437" s="1" t="s">
        <v>2715</v>
      </c>
      <c r="E437">
        <v>4999</v>
      </c>
      <c r="F437">
        <v>0.68</v>
      </c>
      <c r="G437">
        <v>4</v>
      </c>
      <c r="H437">
        <v>67950</v>
      </c>
    </row>
    <row r="438" spans="1:8" x14ac:dyDescent="0.25">
      <c r="A438" s="1" t="s">
        <v>870</v>
      </c>
      <c r="B438" s="1" t="s">
        <v>871</v>
      </c>
      <c r="C438" s="1" t="s">
        <v>2697</v>
      </c>
      <c r="D438" s="1" t="s">
        <v>2719</v>
      </c>
      <c r="E438">
        <v>1699</v>
      </c>
      <c r="F438">
        <v>0.22</v>
      </c>
      <c r="G438">
        <v>4</v>
      </c>
      <c r="H438">
        <v>128311</v>
      </c>
    </row>
    <row r="439" spans="1:8" x14ac:dyDescent="0.25">
      <c r="A439" s="1" t="s">
        <v>872</v>
      </c>
      <c r="B439" s="1" t="s">
        <v>873</v>
      </c>
      <c r="C439" s="1" t="s">
        <v>2697</v>
      </c>
      <c r="D439" s="1" t="s">
        <v>2717</v>
      </c>
      <c r="E439">
        <v>29990</v>
      </c>
      <c r="F439">
        <v>0.3</v>
      </c>
      <c r="G439">
        <v>4.3</v>
      </c>
      <c r="H439">
        <v>9499</v>
      </c>
    </row>
    <row r="440" spans="1:8" x14ac:dyDescent="0.25">
      <c r="A440" s="1" t="s">
        <v>874</v>
      </c>
      <c r="B440" s="1" t="s">
        <v>875</v>
      </c>
      <c r="C440" s="1" t="s">
        <v>2697</v>
      </c>
      <c r="D440" s="1" t="s">
        <v>2723</v>
      </c>
      <c r="E440">
        <v>1999</v>
      </c>
      <c r="F440">
        <v>0.5</v>
      </c>
      <c r="G440">
        <v>4.3</v>
      </c>
      <c r="H440">
        <v>1777</v>
      </c>
    </row>
    <row r="441" spans="1:8" x14ac:dyDescent="0.25">
      <c r="A441" s="1" t="s">
        <v>876</v>
      </c>
      <c r="B441" s="1" t="s">
        <v>877</v>
      </c>
      <c r="C441" s="1" t="s">
        <v>2697</v>
      </c>
      <c r="D441" s="1" t="s">
        <v>2717</v>
      </c>
      <c r="E441">
        <v>15990</v>
      </c>
      <c r="F441">
        <v>0.22</v>
      </c>
      <c r="G441">
        <v>4.2</v>
      </c>
      <c r="H441">
        <v>58506</v>
      </c>
    </row>
    <row r="442" spans="1:8" x14ac:dyDescent="0.25">
      <c r="A442" s="1" t="s">
        <v>878</v>
      </c>
      <c r="B442" s="1" t="s">
        <v>879</v>
      </c>
      <c r="C442" s="1" t="s">
        <v>2697</v>
      </c>
      <c r="D442" s="1" t="s">
        <v>2717</v>
      </c>
      <c r="E442">
        <v>21990</v>
      </c>
      <c r="F442">
        <v>0.18</v>
      </c>
      <c r="G442">
        <v>4</v>
      </c>
      <c r="H442">
        <v>21350</v>
      </c>
    </row>
    <row r="443" spans="1:8" x14ac:dyDescent="0.25">
      <c r="A443" s="1" t="s">
        <v>880</v>
      </c>
      <c r="B443" s="1" t="s">
        <v>881</v>
      </c>
      <c r="C443" s="1" t="s">
        <v>2697</v>
      </c>
      <c r="D443" s="1" t="s">
        <v>2719</v>
      </c>
      <c r="E443">
        <v>1630</v>
      </c>
      <c r="F443">
        <v>0.14000000000000001</v>
      </c>
      <c r="G443">
        <v>4</v>
      </c>
      <c r="H443">
        <v>9378</v>
      </c>
    </row>
    <row r="444" spans="1:8" x14ac:dyDescent="0.25">
      <c r="A444" s="1" t="s">
        <v>882</v>
      </c>
      <c r="B444" s="1" t="s">
        <v>883</v>
      </c>
      <c r="C444" s="1" t="s">
        <v>2697</v>
      </c>
      <c r="D444" s="1" t="s">
        <v>2715</v>
      </c>
      <c r="E444">
        <v>6990</v>
      </c>
      <c r="F444">
        <v>0.79</v>
      </c>
      <c r="G444">
        <v>3.9</v>
      </c>
      <c r="H444">
        <v>21796</v>
      </c>
    </row>
    <row r="445" spans="1:8" x14ac:dyDescent="0.25">
      <c r="A445" s="1" t="s">
        <v>884</v>
      </c>
      <c r="B445" s="1" t="s">
        <v>885</v>
      </c>
      <c r="C445" s="1" t="s">
        <v>2697</v>
      </c>
      <c r="D445" s="1" t="s">
        <v>2715</v>
      </c>
      <c r="E445">
        <v>7990</v>
      </c>
      <c r="F445">
        <v>0.75</v>
      </c>
      <c r="G445">
        <v>3.8</v>
      </c>
      <c r="H445">
        <v>17833</v>
      </c>
    </row>
    <row r="446" spans="1:8" x14ac:dyDescent="0.25">
      <c r="A446" s="1" t="s">
        <v>886</v>
      </c>
      <c r="B446" s="1" t="s">
        <v>887</v>
      </c>
      <c r="C446" s="1" t="s">
        <v>2697</v>
      </c>
      <c r="D446" s="1" t="s">
        <v>2730</v>
      </c>
      <c r="E446">
        <v>2899</v>
      </c>
      <c r="F446">
        <v>0.66</v>
      </c>
      <c r="G446">
        <v>4.7</v>
      </c>
      <c r="H446">
        <v>7779</v>
      </c>
    </row>
    <row r="447" spans="1:8" x14ac:dyDescent="0.25">
      <c r="A447" s="1" t="s">
        <v>888</v>
      </c>
      <c r="B447" s="1" t="s">
        <v>889</v>
      </c>
      <c r="C447" s="1" t="s">
        <v>2697</v>
      </c>
      <c r="D447" s="1" t="s">
        <v>2731</v>
      </c>
      <c r="E447">
        <v>5999</v>
      </c>
      <c r="F447">
        <v>0.65</v>
      </c>
      <c r="G447">
        <v>4.3</v>
      </c>
      <c r="H447">
        <v>17129</v>
      </c>
    </row>
    <row r="448" spans="1:8" x14ac:dyDescent="0.25">
      <c r="A448" s="1" t="s">
        <v>890</v>
      </c>
      <c r="B448" s="1" t="s">
        <v>891</v>
      </c>
      <c r="C448" s="1" t="s">
        <v>2697</v>
      </c>
      <c r="D448" s="1" t="s">
        <v>2721</v>
      </c>
      <c r="E448">
        <v>699</v>
      </c>
      <c r="F448">
        <v>0.52</v>
      </c>
      <c r="G448">
        <v>4.2</v>
      </c>
      <c r="H448">
        <v>4969</v>
      </c>
    </row>
    <row r="449" spans="1:8" x14ac:dyDescent="0.25">
      <c r="A449" s="1" t="s">
        <v>892</v>
      </c>
      <c r="B449" s="1" t="s">
        <v>893</v>
      </c>
      <c r="C449" s="1" t="s">
        <v>2697</v>
      </c>
      <c r="D449" s="1" t="s">
        <v>2715</v>
      </c>
      <c r="E449">
        <v>7990</v>
      </c>
      <c r="F449">
        <v>0.62</v>
      </c>
      <c r="G449">
        <v>4.0999999999999996</v>
      </c>
      <c r="H449">
        <v>154</v>
      </c>
    </row>
    <row r="450" spans="1:8" x14ac:dyDescent="0.25">
      <c r="A450" s="1" t="s">
        <v>894</v>
      </c>
      <c r="B450" s="1" t="s">
        <v>895</v>
      </c>
      <c r="C450" s="1" t="s">
        <v>2697</v>
      </c>
      <c r="D450" s="1" t="s">
        <v>2715</v>
      </c>
      <c r="E450">
        <v>5999</v>
      </c>
      <c r="F450">
        <v>0.78</v>
      </c>
      <c r="G450">
        <v>3.3</v>
      </c>
      <c r="H450">
        <v>4415</v>
      </c>
    </row>
    <row r="451" spans="1:8" x14ac:dyDescent="0.25">
      <c r="A451" s="1" t="s">
        <v>896</v>
      </c>
      <c r="B451" s="1" t="s">
        <v>897</v>
      </c>
      <c r="C451" s="1" t="s">
        <v>2697</v>
      </c>
      <c r="D451" s="1" t="s">
        <v>2717</v>
      </c>
      <c r="E451">
        <v>20990</v>
      </c>
      <c r="F451">
        <v>0.21</v>
      </c>
      <c r="G451">
        <v>4</v>
      </c>
      <c r="H451">
        <v>21350</v>
      </c>
    </row>
    <row r="452" spans="1:8" x14ac:dyDescent="0.25">
      <c r="A452" s="1" t="s">
        <v>898</v>
      </c>
      <c r="B452" s="1" t="s">
        <v>899</v>
      </c>
      <c r="C452" s="1" t="s">
        <v>2697</v>
      </c>
      <c r="D452" s="1" t="s">
        <v>2720</v>
      </c>
      <c r="E452">
        <v>499</v>
      </c>
      <c r="F452">
        <v>0</v>
      </c>
      <c r="G452">
        <v>4.2</v>
      </c>
      <c r="H452">
        <v>31539</v>
      </c>
    </row>
    <row r="453" spans="1:8" x14ac:dyDescent="0.25">
      <c r="A453" s="1" t="s">
        <v>900</v>
      </c>
      <c r="B453" s="1" t="s">
        <v>901</v>
      </c>
      <c r="C453" s="1" t="s">
        <v>2697</v>
      </c>
      <c r="D453" s="1" t="s">
        <v>2730</v>
      </c>
      <c r="E453">
        <v>2899</v>
      </c>
      <c r="F453">
        <v>0.66</v>
      </c>
      <c r="G453">
        <v>4.5999999999999996</v>
      </c>
      <c r="H453">
        <v>6129</v>
      </c>
    </row>
    <row r="454" spans="1:8" x14ac:dyDescent="0.25">
      <c r="A454" s="1" t="s">
        <v>902</v>
      </c>
      <c r="B454" s="1" t="s">
        <v>903</v>
      </c>
      <c r="C454" s="1" t="s">
        <v>2697</v>
      </c>
      <c r="D454" s="1" t="s">
        <v>2717</v>
      </c>
      <c r="E454">
        <v>13499</v>
      </c>
      <c r="F454">
        <v>0.22</v>
      </c>
      <c r="G454">
        <v>4.2</v>
      </c>
      <c r="H454">
        <v>284</v>
      </c>
    </row>
    <row r="455" spans="1:8" x14ac:dyDescent="0.25">
      <c r="A455" s="1" t="s">
        <v>904</v>
      </c>
      <c r="B455" s="1" t="s">
        <v>905</v>
      </c>
      <c r="C455" s="1" t="s">
        <v>2697</v>
      </c>
      <c r="D455" s="1" t="s">
        <v>2732</v>
      </c>
      <c r="E455">
        <v>999</v>
      </c>
      <c r="F455">
        <v>0.75</v>
      </c>
      <c r="G455">
        <v>3.7</v>
      </c>
      <c r="H455">
        <v>3234</v>
      </c>
    </row>
    <row r="456" spans="1:8" x14ac:dyDescent="0.25">
      <c r="A456" s="1" t="s">
        <v>906</v>
      </c>
      <c r="B456" s="1" t="s">
        <v>907</v>
      </c>
      <c r="C456" s="1" t="s">
        <v>2697</v>
      </c>
      <c r="D456" s="1" t="s">
        <v>2717</v>
      </c>
      <c r="E456">
        <v>7999</v>
      </c>
      <c r="F456">
        <v>0.19</v>
      </c>
      <c r="G456">
        <v>4.0999999999999996</v>
      </c>
      <c r="H456">
        <v>313832</v>
      </c>
    </row>
    <row r="457" spans="1:8" x14ac:dyDescent="0.25">
      <c r="A457" s="1" t="s">
        <v>908</v>
      </c>
      <c r="B457" s="1" t="s">
        <v>909</v>
      </c>
      <c r="C457" s="1" t="s">
        <v>2697</v>
      </c>
      <c r="D457" s="1" t="s">
        <v>2715</v>
      </c>
      <c r="E457">
        <v>9999</v>
      </c>
      <c r="F457">
        <v>0.7</v>
      </c>
      <c r="G457">
        <v>4.2</v>
      </c>
      <c r="H457">
        <v>20879</v>
      </c>
    </row>
    <row r="458" spans="1:8" x14ac:dyDescent="0.25">
      <c r="A458" s="1" t="s">
        <v>910</v>
      </c>
      <c r="B458" s="1" t="s">
        <v>911</v>
      </c>
      <c r="C458" s="1" t="s">
        <v>2697</v>
      </c>
      <c r="D458" s="1" t="s">
        <v>2733</v>
      </c>
      <c r="E458">
        <v>1499</v>
      </c>
      <c r="F458">
        <v>0.81</v>
      </c>
      <c r="G458">
        <v>4.2</v>
      </c>
      <c r="H458">
        <v>2646</v>
      </c>
    </row>
    <row r="459" spans="1:8" x14ac:dyDescent="0.25">
      <c r="A459" s="1" t="s">
        <v>912</v>
      </c>
      <c r="B459" s="1" t="s">
        <v>913</v>
      </c>
      <c r="C459" s="1" t="s">
        <v>2697</v>
      </c>
      <c r="D459" s="1" t="s">
        <v>2727</v>
      </c>
      <c r="E459">
        <v>1499</v>
      </c>
      <c r="F459">
        <v>0.82</v>
      </c>
      <c r="G459">
        <v>4.5</v>
      </c>
      <c r="H459">
        <v>28978</v>
      </c>
    </row>
    <row r="460" spans="1:8" x14ac:dyDescent="0.25">
      <c r="A460" s="1" t="s">
        <v>914</v>
      </c>
      <c r="B460" s="1" t="s">
        <v>915</v>
      </c>
      <c r="C460" s="1" t="s">
        <v>2697</v>
      </c>
      <c r="D460" s="1" t="s">
        <v>2717</v>
      </c>
      <c r="E460">
        <v>13499</v>
      </c>
      <c r="F460">
        <v>0.33</v>
      </c>
      <c r="G460">
        <v>3.8</v>
      </c>
      <c r="H460">
        <v>3145</v>
      </c>
    </row>
    <row r="461" spans="1:8" x14ac:dyDescent="0.25">
      <c r="A461" s="1" t="s">
        <v>916</v>
      </c>
      <c r="B461" s="1" t="s">
        <v>917</v>
      </c>
      <c r="C461" s="1" t="s">
        <v>2697</v>
      </c>
      <c r="D461" s="1" t="s">
        <v>2720</v>
      </c>
      <c r="E461">
        <v>1299</v>
      </c>
      <c r="F461">
        <v>0.54</v>
      </c>
      <c r="G461">
        <v>4.0999999999999996</v>
      </c>
      <c r="H461">
        <v>192589</v>
      </c>
    </row>
    <row r="462" spans="1:8" x14ac:dyDescent="0.25">
      <c r="A462" s="1" t="s">
        <v>918</v>
      </c>
      <c r="B462" s="1" t="s">
        <v>919</v>
      </c>
      <c r="C462" s="1" t="s">
        <v>2697</v>
      </c>
      <c r="D462" s="1" t="s">
        <v>2731</v>
      </c>
      <c r="E462">
        <v>999</v>
      </c>
      <c r="F462">
        <v>0.65</v>
      </c>
      <c r="G462">
        <v>3.8</v>
      </c>
      <c r="H462">
        <v>16557</v>
      </c>
    </row>
    <row r="463" spans="1:8" x14ac:dyDescent="0.25">
      <c r="A463" s="1" t="s">
        <v>920</v>
      </c>
      <c r="B463" s="1" t="s">
        <v>785</v>
      </c>
      <c r="C463" s="1" t="s">
        <v>2697</v>
      </c>
      <c r="D463" s="1" t="s">
        <v>2717</v>
      </c>
      <c r="E463">
        <v>19499</v>
      </c>
      <c r="F463">
        <v>0.28000000000000003</v>
      </c>
      <c r="G463">
        <v>4.0999999999999996</v>
      </c>
      <c r="H463">
        <v>18998</v>
      </c>
    </row>
    <row r="464" spans="1:8" x14ac:dyDescent="0.25">
      <c r="A464" s="1" t="s">
        <v>921</v>
      </c>
      <c r="B464" s="1" t="s">
        <v>922</v>
      </c>
      <c r="C464" s="1" t="s">
        <v>2697</v>
      </c>
      <c r="D464" s="1" t="s">
        <v>2731</v>
      </c>
      <c r="E464">
        <v>999</v>
      </c>
      <c r="F464">
        <v>0.65</v>
      </c>
      <c r="G464">
        <v>3.8</v>
      </c>
      <c r="H464">
        <v>16557</v>
      </c>
    </row>
    <row r="465" spans="1:8" x14ac:dyDescent="0.25">
      <c r="A465" s="1" t="s">
        <v>923</v>
      </c>
      <c r="B465" s="1" t="s">
        <v>924</v>
      </c>
      <c r="C465" s="1" t="s">
        <v>2697</v>
      </c>
      <c r="D465" s="1" t="s">
        <v>2723</v>
      </c>
      <c r="E465">
        <v>599</v>
      </c>
      <c r="F465">
        <v>0.17</v>
      </c>
      <c r="G465">
        <v>4.2</v>
      </c>
      <c r="H465">
        <v>21916</v>
      </c>
    </row>
    <row r="466" spans="1:8" x14ac:dyDescent="0.25">
      <c r="A466" s="1" t="s">
        <v>925</v>
      </c>
      <c r="B466" s="1" t="s">
        <v>731</v>
      </c>
      <c r="C466" s="1" t="s">
        <v>2697</v>
      </c>
      <c r="D466" s="1" t="s">
        <v>2715</v>
      </c>
      <c r="E466">
        <v>9999</v>
      </c>
      <c r="F466">
        <v>0.78</v>
      </c>
      <c r="G466">
        <v>4.2</v>
      </c>
      <c r="H466">
        <v>29472</v>
      </c>
    </row>
    <row r="467" spans="1:8" x14ac:dyDescent="0.25">
      <c r="A467" s="1" t="s">
        <v>926</v>
      </c>
      <c r="B467" s="1" t="s">
        <v>927</v>
      </c>
      <c r="C467" s="1" t="s">
        <v>2697</v>
      </c>
      <c r="D467" s="1" t="s">
        <v>2729</v>
      </c>
      <c r="E467">
        <v>499</v>
      </c>
      <c r="F467">
        <v>0.81</v>
      </c>
      <c r="G467">
        <v>4.2</v>
      </c>
      <c r="H467">
        <v>1949</v>
      </c>
    </row>
    <row r="468" spans="1:8" x14ac:dyDescent="0.25">
      <c r="A468" s="1" t="s">
        <v>928</v>
      </c>
      <c r="B468" s="1" t="s">
        <v>929</v>
      </c>
      <c r="C468" s="1" t="s">
        <v>2694</v>
      </c>
      <c r="D468" s="1" t="s">
        <v>2695</v>
      </c>
      <c r="E468">
        <v>249</v>
      </c>
      <c r="F468">
        <v>0.44</v>
      </c>
      <c r="G468">
        <v>4</v>
      </c>
      <c r="H468">
        <v>9377</v>
      </c>
    </row>
    <row r="469" spans="1:8" x14ac:dyDescent="0.25">
      <c r="A469" s="1" t="s">
        <v>930</v>
      </c>
      <c r="B469" s="1" t="s">
        <v>931</v>
      </c>
      <c r="C469" s="1" t="s">
        <v>2697</v>
      </c>
      <c r="D469" s="1" t="s">
        <v>2715</v>
      </c>
      <c r="E469">
        <v>7999</v>
      </c>
      <c r="F469">
        <v>0.44</v>
      </c>
      <c r="G469">
        <v>3.5</v>
      </c>
      <c r="H469">
        <v>37</v>
      </c>
    </row>
    <row r="470" spans="1:8" x14ac:dyDescent="0.25">
      <c r="A470" s="1" t="s">
        <v>932</v>
      </c>
      <c r="B470" s="1" t="s">
        <v>933</v>
      </c>
      <c r="C470" s="1" t="s">
        <v>2697</v>
      </c>
      <c r="D470" s="1" t="s">
        <v>2727</v>
      </c>
      <c r="E470">
        <v>599</v>
      </c>
      <c r="F470">
        <v>0.85</v>
      </c>
      <c r="G470">
        <v>4.3</v>
      </c>
      <c r="H470">
        <v>2351</v>
      </c>
    </row>
    <row r="471" spans="1:8" x14ac:dyDescent="0.25">
      <c r="A471" s="1" t="s">
        <v>934</v>
      </c>
      <c r="B471" s="1" t="s">
        <v>935</v>
      </c>
      <c r="C471" s="1" t="s">
        <v>2697</v>
      </c>
      <c r="D471" s="1" t="s">
        <v>2717</v>
      </c>
      <c r="E471">
        <v>20999</v>
      </c>
      <c r="F471">
        <v>0.26</v>
      </c>
      <c r="G471">
        <v>4.0999999999999996</v>
      </c>
      <c r="H471">
        <v>19253</v>
      </c>
    </row>
    <row r="472" spans="1:8" x14ac:dyDescent="0.25">
      <c r="A472" s="1" t="s">
        <v>936</v>
      </c>
      <c r="B472" s="1" t="s">
        <v>937</v>
      </c>
      <c r="C472" s="1" t="s">
        <v>2697</v>
      </c>
      <c r="D472" s="1" t="s">
        <v>2717</v>
      </c>
      <c r="E472">
        <v>15999</v>
      </c>
      <c r="F472">
        <v>0.13</v>
      </c>
      <c r="G472">
        <v>3.9</v>
      </c>
      <c r="H472">
        <v>2180</v>
      </c>
    </row>
    <row r="473" spans="1:8" x14ac:dyDescent="0.25">
      <c r="A473" s="1" t="s">
        <v>938</v>
      </c>
      <c r="B473" s="1" t="s">
        <v>939</v>
      </c>
      <c r="C473" s="1" t="s">
        <v>2697</v>
      </c>
      <c r="D473" s="1" t="s">
        <v>2715</v>
      </c>
      <c r="E473">
        <v>4999</v>
      </c>
      <c r="F473">
        <v>0.6</v>
      </c>
      <c r="G473">
        <v>3.9</v>
      </c>
      <c r="H473">
        <v>7571</v>
      </c>
    </row>
    <row r="474" spans="1:8" x14ac:dyDescent="0.25">
      <c r="A474" s="1" t="s">
        <v>940</v>
      </c>
      <c r="B474" s="1" t="s">
        <v>941</v>
      </c>
      <c r="C474" s="1" t="s">
        <v>2697</v>
      </c>
      <c r="D474" s="1" t="s">
        <v>2715</v>
      </c>
      <c r="E474">
        <v>5999</v>
      </c>
      <c r="F474">
        <v>0.77</v>
      </c>
      <c r="G474">
        <v>3.3</v>
      </c>
      <c r="H474">
        <v>4415</v>
      </c>
    </row>
    <row r="475" spans="1:8" x14ac:dyDescent="0.25">
      <c r="A475" s="1" t="s">
        <v>942</v>
      </c>
      <c r="B475" s="1" t="s">
        <v>943</v>
      </c>
      <c r="C475" s="1" t="s">
        <v>2697</v>
      </c>
      <c r="D475" s="1" t="s">
        <v>2722</v>
      </c>
      <c r="E475">
        <v>999</v>
      </c>
      <c r="F475">
        <v>0.4</v>
      </c>
      <c r="G475">
        <v>4</v>
      </c>
      <c r="H475">
        <v>18654</v>
      </c>
    </row>
    <row r="476" spans="1:8" x14ac:dyDescent="0.25">
      <c r="A476" s="1" t="s">
        <v>944</v>
      </c>
      <c r="B476" s="1" t="s">
        <v>945</v>
      </c>
      <c r="C476" s="1" t="s">
        <v>2697</v>
      </c>
      <c r="D476" s="1" t="s">
        <v>2723</v>
      </c>
      <c r="E476">
        <v>1099</v>
      </c>
      <c r="F476">
        <v>0.82</v>
      </c>
      <c r="G476">
        <v>4</v>
      </c>
      <c r="H476">
        <v>3197</v>
      </c>
    </row>
    <row r="477" spans="1:8" x14ac:dyDescent="0.25">
      <c r="A477" s="1" t="s">
        <v>946</v>
      </c>
      <c r="B477" s="1" t="s">
        <v>947</v>
      </c>
      <c r="C477" s="1" t="s">
        <v>2697</v>
      </c>
      <c r="D477" s="1" t="s">
        <v>2715</v>
      </c>
      <c r="E477">
        <v>6990</v>
      </c>
      <c r="F477">
        <v>0.74</v>
      </c>
      <c r="G477">
        <v>4</v>
      </c>
      <c r="H477">
        <v>26880</v>
      </c>
    </row>
    <row r="478" spans="1:8" x14ac:dyDescent="0.25">
      <c r="A478" s="1" t="s">
        <v>948</v>
      </c>
      <c r="B478" s="1" t="s">
        <v>949</v>
      </c>
      <c r="C478" s="1" t="s">
        <v>2697</v>
      </c>
      <c r="D478" s="1" t="s">
        <v>2715</v>
      </c>
      <c r="E478">
        <v>6990</v>
      </c>
      <c r="F478">
        <v>0.79</v>
      </c>
      <c r="G478">
        <v>3.9</v>
      </c>
      <c r="H478">
        <v>21796</v>
      </c>
    </row>
    <row r="479" spans="1:8" x14ac:dyDescent="0.25">
      <c r="A479" s="1" t="s">
        <v>950</v>
      </c>
      <c r="B479" s="1" t="s">
        <v>951</v>
      </c>
      <c r="C479" s="1" t="s">
        <v>2697</v>
      </c>
      <c r="D479" s="1" t="s">
        <v>2717</v>
      </c>
      <c r="E479">
        <v>29990</v>
      </c>
      <c r="F479">
        <v>0.3</v>
      </c>
      <c r="G479">
        <v>4.3</v>
      </c>
      <c r="H479">
        <v>9499</v>
      </c>
    </row>
    <row r="480" spans="1:8" x14ac:dyDescent="0.25">
      <c r="A480" s="1" t="s">
        <v>952</v>
      </c>
      <c r="B480" s="1" t="s">
        <v>953</v>
      </c>
      <c r="C480" s="1" t="s">
        <v>2697</v>
      </c>
      <c r="D480" s="1" t="s">
        <v>2717</v>
      </c>
      <c r="E480">
        <v>13499</v>
      </c>
      <c r="F480">
        <v>0.04</v>
      </c>
      <c r="G480">
        <v>4.0999999999999996</v>
      </c>
      <c r="H480">
        <v>56098</v>
      </c>
    </row>
    <row r="481" spans="1:8" x14ac:dyDescent="0.25">
      <c r="A481" s="1" t="s">
        <v>954</v>
      </c>
      <c r="B481" s="1" t="s">
        <v>955</v>
      </c>
      <c r="C481" s="1" t="s">
        <v>2697</v>
      </c>
      <c r="D481" s="1" t="s">
        <v>2717</v>
      </c>
      <c r="E481">
        <v>20999</v>
      </c>
      <c r="F481">
        <v>0.19</v>
      </c>
      <c r="G481">
        <v>4.0999999999999996</v>
      </c>
      <c r="H481">
        <v>31822</v>
      </c>
    </row>
    <row r="482" spans="1:8" x14ac:dyDescent="0.25">
      <c r="A482" s="1" t="s">
        <v>956</v>
      </c>
      <c r="B482" s="1" t="s">
        <v>957</v>
      </c>
      <c r="C482" s="1" t="s">
        <v>2697</v>
      </c>
      <c r="D482" s="1" t="s">
        <v>2717</v>
      </c>
      <c r="E482">
        <v>27990</v>
      </c>
      <c r="F482">
        <v>0.28999999999999998</v>
      </c>
      <c r="G482">
        <v>4.3</v>
      </c>
      <c r="H482">
        <v>9499</v>
      </c>
    </row>
    <row r="483" spans="1:8" x14ac:dyDescent="0.25">
      <c r="A483" s="1" t="s">
        <v>958</v>
      </c>
      <c r="B483" s="1" t="s">
        <v>959</v>
      </c>
      <c r="C483" s="1" t="s">
        <v>2697</v>
      </c>
      <c r="D483" s="1" t="s">
        <v>2717</v>
      </c>
      <c r="E483">
        <v>18999</v>
      </c>
      <c r="F483">
        <v>0.32</v>
      </c>
      <c r="G483">
        <v>4.0999999999999996</v>
      </c>
      <c r="H483">
        <v>50772</v>
      </c>
    </row>
    <row r="484" spans="1:8" x14ac:dyDescent="0.25">
      <c r="A484" s="1" t="s">
        <v>960</v>
      </c>
      <c r="B484" s="1" t="s">
        <v>961</v>
      </c>
      <c r="C484" s="1" t="s">
        <v>2697</v>
      </c>
      <c r="D484" s="1" t="s">
        <v>2715</v>
      </c>
      <c r="E484">
        <v>5999</v>
      </c>
      <c r="F484">
        <v>0.5</v>
      </c>
      <c r="G484">
        <v>4.0999999999999996</v>
      </c>
      <c r="H484">
        <v>7148</v>
      </c>
    </row>
    <row r="485" spans="1:8" x14ac:dyDescent="0.25">
      <c r="A485" s="1" t="s">
        <v>962</v>
      </c>
      <c r="B485" s="1" t="s">
        <v>963</v>
      </c>
      <c r="C485" s="1" t="s">
        <v>2697</v>
      </c>
      <c r="D485" s="1" t="s">
        <v>2723</v>
      </c>
      <c r="E485">
        <v>999</v>
      </c>
      <c r="F485">
        <v>0.67</v>
      </c>
      <c r="G485">
        <v>4.2</v>
      </c>
      <c r="H485">
        <v>3492</v>
      </c>
    </row>
    <row r="486" spans="1:8" x14ac:dyDescent="0.25">
      <c r="A486" s="1" t="s">
        <v>964</v>
      </c>
      <c r="B486" s="1" t="s">
        <v>965</v>
      </c>
      <c r="C486" s="1" t="s">
        <v>2697</v>
      </c>
      <c r="D486" s="1" t="s">
        <v>2715</v>
      </c>
      <c r="E486">
        <v>5999</v>
      </c>
      <c r="F486">
        <v>0.78</v>
      </c>
      <c r="G486">
        <v>3.3</v>
      </c>
      <c r="H486">
        <v>4415</v>
      </c>
    </row>
    <row r="487" spans="1:8" x14ac:dyDescent="0.25">
      <c r="A487" s="1" t="s">
        <v>966</v>
      </c>
      <c r="B487" s="1" t="s">
        <v>967</v>
      </c>
      <c r="C487" s="1" t="s">
        <v>2697</v>
      </c>
      <c r="D487" s="1" t="s">
        <v>2718</v>
      </c>
      <c r="E487">
        <v>3500</v>
      </c>
      <c r="F487">
        <v>0.43</v>
      </c>
      <c r="G487">
        <v>4.4000000000000004</v>
      </c>
      <c r="H487">
        <v>67260</v>
      </c>
    </row>
    <row r="488" spans="1:8" x14ac:dyDescent="0.25">
      <c r="A488" s="1" t="s">
        <v>968</v>
      </c>
      <c r="B488" s="1" t="s">
        <v>672</v>
      </c>
      <c r="C488" s="1" t="s">
        <v>2697</v>
      </c>
      <c r="D488" s="1" t="s">
        <v>2715</v>
      </c>
      <c r="E488">
        <v>9999</v>
      </c>
      <c r="F488">
        <v>0.8</v>
      </c>
      <c r="G488">
        <v>4.3</v>
      </c>
      <c r="H488">
        <v>27704</v>
      </c>
    </row>
    <row r="489" spans="1:8" x14ac:dyDescent="0.25">
      <c r="A489" s="1" t="s">
        <v>969</v>
      </c>
      <c r="B489" s="1" t="s">
        <v>970</v>
      </c>
      <c r="C489" s="1" t="s">
        <v>2697</v>
      </c>
      <c r="D489" s="1" t="s">
        <v>2717</v>
      </c>
      <c r="E489">
        <v>18999</v>
      </c>
      <c r="F489">
        <v>0.32</v>
      </c>
      <c r="G489">
        <v>4.0999999999999996</v>
      </c>
      <c r="H489">
        <v>50772</v>
      </c>
    </row>
    <row r="490" spans="1:8" x14ac:dyDescent="0.25">
      <c r="A490" s="1" t="s">
        <v>971</v>
      </c>
      <c r="B490" s="1" t="s">
        <v>972</v>
      </c>
      <c r="C490" s="1" t="s">
        <v>2697</v>
      </c>
      <c r="D490" s="1" t="s">
        <v>2715</v>
      </c>
      <c r="E490">
        <v>4999</v>
      </c>
      <c r="F490">
        <v>0.7</v>
      </c>
      <c r="G490">
        <v>4</v>
      </c>
      <c r="H490">
        <v>92588</v>
      </c>
    </row>
    <row r="491" spans="1:8" x14ac:dyDescent="0.25">
      <c r="A491" s="1" t="s">
        <v>973</v>
      </c>
      <c r="B491" s="1" t="s">
        <v>974</v>
      </c>
      <c r="C491" s="1" t="s">
        <v>2697</v>
      </c>
      <c r="D491" s="1" t="s">
        <v>2717</v>
      </c>
      <c r="E491">
        <v>20999</v>
      </c>
      <c r="F491">
        <v>0.19</v>
      </c>
      <c r="G491">
        <v>4.0999999999999996</v>
      </c>
      <c r="H491">
        <v>31822</v>
      </c>
    </row>
    <row r="492" spans="1:8" x14ac:dyDescent="0.25">
      <c r="A492" s="1" t="s">
        <v>975</v>
      </c>
      <c r="B492" s="1" t="s">
        <v>976</v>
      </c>
      <c r="C492" s="1" t="s">
        <v>2697</v>
      </c>
      <c r="D492" s="1" t="s">
        <v>2715</v>
      </c>
      <c r="E492">
        <v>8499</v>
      </c>
      <c r="F492">
        <v>0.76</v>
      </c>
      <c r="G492">
        <v>4.3</v>
      </c>
      <c r="H492">
        <v>240</v>
      </c>
    </row>
    <row r="493" spans="1:8" x14ac:dyDescent="0.25">
      <c r="A493" s="1" t="s">
        <v>977</v>
      </c>
      <c r="B493" s="1" t="s">
        <v>978</v>
      </c>
      <c r="C493" s="1" t="s">
        <v>2697</v>
      </c>
      <c r="D493" s="1" t="s">
        <v>2715</v>
      </c>
      <c r="E493">
        <v>6999</v>
      </c>
      <c r="F493">
        <v>0.28999999999999998</v>
      </c>
      <c r="G493">
        <v>3.8</v>
      </c>
      <c r="H493">
        <v>758</v>
      </c>
    </row>
    <row r="494" spans="1:8" x14ac:dyDescent="0.25">
      <c r="A494" s="1" t="s">
        <v>979</v>
      </c>
      <c r="B494" s="1" t="s">
        <v>980</v>
      </c>
      <c r="C494" s="1" t="s">
        <v>2697</v>
      </c>
      <c r="D494" s="1" t="s">
        <v>2715</v>
      </c>
      <c r="E494">
        <v>5999</v>
      </c>
      <c r="F494">
        <v>0.57999999999999996</v>
      </c>
      <c r="G494">
        <v>3.7</v>
      </c>
      <c r="H494">
        <v>828</v>
      </c>
    </row>
    <row r="495" spans="1:8" x14ac:dyDescent="0.25">
      <c r="A495" s="1" t="s">
        <v>981</v>
      </c>
      <c r="B495" s="1" t="s">
        <v>982</v>
      </c>
      <c r="C495" s="1" t="s">
        <v>2697</v>
      </c>
      <c r="D495" s="1" t="s">
        <v>2719</v>
      </c>
      <c r="E495">
        <v>1630</v>
      </c>
      <c r="F495">
        <v>0.14000000000000001</v>
      </c>
      <c r="G495">
        <v>4</v>
      </c>
      <c r="H495">
        <v>9378</v>
      </c>
    </row>
    <row r="496" spans="1:8" x14ac:dyDescent="0.25">
      <c r="A496" s="1" t="s">
        <v>983</v>
      </c>
      <c r="B496" s="1" t="s">
        <v>984</v>
      </c>
      <c r="C496" s="1" t="s">
        <v>2697</v>
      </c>
      <c r="D496" s="1" t="s">
        <v>2715</v>
      </c>
      <c r="E496">
        <v>9999</v>
      </c>
      <c r="F496">
        <v>0.85</v>
      </c>
      <c r="G496">
        <v>4.2</v>
      </c>
      <c r="H496">
        <v>22638</v>
      </c>
    </row>
    <row r="497" spans="1:8" x14ac:dyDescent="0.25">
      <c r="A497" s="1" t="s">
        <v>985</v>
      </c>
      <c r="B497" s="1" t="s">
        <v>986</v>
      </c>
      <c r="C497" s="1" t="s">
        <v>2697</v>
      </c>
      <c r="D497" s="1" t="s">
        <v>2723</v>
      </c>
      <c r="E497">
        <v>599</v>
      </c>
      <c r="F497">
        <v>0.57999999999999996</v>
      </c>
      <c r="G497">
        <v>3.9</v>
      </c>
      <c r="H497">
        <v>2147</v>
      </c>
    </row>
    <row r="498" spans="1:8" x14ac:dyDescent="0.25">
      <c r="A498" s="1" t="s">
        <v>987</v>
      </c>
      <c r="B498" s="1" t="s">
        <v>988</v>
      </c>
      <c r="C498" s="1" t="s">
        <v>2697</v>
      </c>
      <c r="D498" s="1" t="s">
        <v>2730</v>
      </c>
      <c r="E498">
        <v>1199</v>
      </c>
      <c r="F498">
        <v>0.75</v>
      </c>
      <c r="G498">
        <v>4.5</v>
      </c>
      <c r="H498">
        <v>596</v>
      </c>
    </row>
    <row r="499" spans="1:8" x14ac:dyDescent="0.25">
      <c r="A499" s="1" t="s">
        <v>989</v>
      </c>
      <c r="B499" s="1" t="s">
        <v>990</v>
      </c>
      <c r="C499" s="1" t="s">
        <v>2697</v>
      </c>
      <c r="D499" s="1" t="s">
        <v>2729</v>
      </c>
      <c r="E499">
        <v>499</v>
      </c>
      <c r="F499">
        <v>0.84</v>
      </c>
      <c r="G499">
        <v>4.2</v>
      </c>
      <c r="H499">
        <v>1949</v>
      </c>
    </row>
    <row r="500" spans="1:8" x14ac:dyDescent="0.25">
      <c r="A500" s="1" t="s">
        <v>991</v>
      </c>
      <c r="B500" s="1" t="s">
        <v>992</v>
      </c>
      <c r="C500" s="1" t="s">
        <v>2697</v>
      </c>
      <c r="D500" s="1" t="s">
        <v>2717</v>
      </c>
      <c r="E500">
        <v>15999</v>
      </c>
      <c r="F500">
        <v>0.13</v>
      </c>
      <c r="G500">
        <v>3.9</v>
      </c>
      <c r="H500">
        <v>2180</v>
      </c>
    </row>
    <row r="501" spans="1:8" x14ac:dyDescent="0.25">
      <c r="A501" s="1" t="s">
        <v>993</v>
      </c>
      <c r="B501" s="1" t="s">
        <v>994</v>
      </c>
      <c r="C501" s="1" t="s">
        <v>2697</v>
      </c>
      <c r="D501" s="1" t="s">
        <v>2720</v>
      </c>
      <c r="E501">
        <v>999</v>
      </c>
      <c r="F501">
        <v>0.05</v>
      </c>
      <c r="G501">
        <v>4.2</v>
      </c>
      <c r="H501">
        <v>31539</v>
      </c>
    </row>
    <row r="502" spans="1:8" x14ac:dyDescent="0.25">
      <c r="A502" s="1" t="s">
        <v>995</v>
      </c>
      <c r="B502" s="1" t="s">
        <v>996</v>
      </c>
      <c r="C502" s="1" t="s">
        <v>2697</v>
      </c>
      <c r="D502" s="1" t="s">
        <v>2727</v>
      </c>
      <c r="E502">
        <v>499</v>
      </c>
      <c r="F502">
        <v>0.8</v>
      </c>
      <c r="G502">
        <v>4.0999999999999996</v>
      </c>
      <c r="H502">
        <v>2451</v>
      </c>
    </row>
    <row r="503" spans="1:8" x14ac:dyDescent="0.25">
      <c r="A503" s="1" t="s">
        <v>997</v>
      </c>
      <c r="B503" s="1" t="s">
        <v>998</v>
      </c>
      <c r="C503" s="1" t="s">
        <v>2697</v>
      </c>
      <c r="D503" s="1" t="s">
        <v>2715</v>
      </c>
      <c r="E503">
        <v>7990</v>
      </c>
      <c r="F503">
        <v>0.69</v>
      </c>
      <c r="G503">
        <v>4.0999999999999996</v>
      </c>
      <c r="H503">
        <v>154</v>
      </c>
    </row>
    <row r="504" spans="1:8" x14ac:dyDescent="0.25">
      <c r="A504" s="1" t="s">
        <v>999</v>
      </c>
      <c r="B504" s="1" t="s">
        <v>1000</v>
      </c>
      <c r="C504" s="1" t="s">
        <v>2697</v>
      </c>
      <c r="D504" s="1" t="s">
        <v>2734</v>
      </c>
      <c r="E504">
        <v>1999</v>
      </c>
      <c r="F504">
        <v>0.66</v>
      </c>
      <c r="G504">
        <v>4.3</v>
      </c>
      <c r="H504">
        <v>1193</v>
      </c>
    </row>
    <row r="505" spans="1:8" x14ac:dyDescent="0.25">
      <c r="A505" s="1" t="s">
        <v>1001</v>
      </c>
      <c r="B505" s="1" t="s">
        <v>1002</v>
      </c>
      <c r="C505" s="1" t="s">
        <v>2697</v>
      </c>
      <c r="D505" s="1" t="s">
        <v>2732</v>
      </c>
      <c r="E505">
        <v>1899</v>
      </c>
      <c r="F505">
        <v>0.74</v>
      </c>
      <c r="G505">
        <v>4.0999999999999996</v>
      </c>
      <c r="H505">
        <v>1475</v>
      </c>
    </row>
    <row r="506" spans="1:8" x14ac:dyDescent="0.25">
      <c r="A506" s="1" t="s">
        <v>1003</v>
      </c>
      <c r="B506" s="1" t="s">
        <v>1004</v>
      </c>
      <c r="C506" s="1" t="s">
        <v>2697</v>
      </c>
      <c r="D506" s="1" t="s">
        <v>2730</v>
      </c>
      <c r="E506">
        <v>999</v>
      </c>
      <c r="F506">
        <v>0.7</v>
      </c>
      <c r="G506">
        <v>4.3</v>
      </c>
      <c r="H506">
        <v>8891</v>
      </c>
    </row>
    <row r="507" spans="1:8" x14ac:dyDescent="0.25">
      <c r="A507" s="1" t="s">
        <v>1005</v>
      </c>
      <c r="B507" s="1" t="s">
        <v>1006</v>
      </c>
      <c r="C507" s="1" t="s">
        <v>2697</v>
      </c>
      <c r="D507" s="1" t="s">
        <v>2727</v>
      </c>
      <c r="E507">
        <v>499</v>
      </c>
      <c r="F507">
        <v>0.57999999999999996</v>
      </c>
      <c r="G507">
        <v>3.6</v>
      </c>
      <c r="H507">
        <v>104</v>
      </c>
    </row>
    <row r="508" spans="1:8" x14ac:dyDescent="0.25">
      <c r="A508" s="1" t="s">
        <v>1007</v>
      </c>
      <c r="B508" s="1" t="s">
        <v>1008</v>
      </c>
      <c r="C508" s="1" t="s">
        <v>2697</v>
      </c>
      <c r="D508" s="1" t="s">
        <v>2717</v>
      </c>
      <c r="E508">
        <v>12999</v>
      </c>
      <c r="F508">
        <v>0.35</v>
      </c>
      <c r="G508">
        <v>4.0999999999999996</v>
      </c>
      <c r="H508">
        <v>6662</v>
      </c>
    </row>
    <row r="509" spans="1:8" x14ac:dyDescent="0.25">
      <c r="A509" s="1" t="s">
        <v>1009</v>
      </c>
      <c r="B509" s="1" t="s">
        <v>1010</v>
      </c>
      <c r="C509" s="1" t="s">
        <v>2697</v>
      </c>
      <c r="D509" s="1" t="s">
        <v>2716</v>
      </c>
      <c r="E509">
        <v>3999</v>
      </c>
      <c r="F509">
        <v>0.46</v>
      </c>
      <c r="G509">
        <v>4</v>
      </c>
      <c r="H509">
        <v>8380</v>
      </c>
    </row>
    <row r="510" spans="1:8" x14ac:dyDescent="0.25">
      <c r="A510" s="1" t="s">
        <v>1011</v>
      </c>
      <c r="B510" s="1" t="s">
        <v>1012</v>
      </c>
      <c r="C510" s="1" t="s">
        <v>2697</v>
      </c>
      <c r="D510" s="1" t="s">
        <v>2717</v>
      </c>
      <c r="E510">
        <v>20999</v>
      </c>
      <c r="F510">
        <v>0.19</v>
      </c>
      <c r="G510">
        <v>4.0999999999999996</v>
      </c>
      <c r="H510">
        <v>31822</v>
      </c>
    </row>
    <row r="511" spans="1:8" x14ac:dyDescent="0.25">
      <c r="A511" s="1" t="s">
        <v>1013</v>
      </c>
      <c r="B511" s="1" t="s">
        <v>1014</v>
      </c>
      <c r="C511" s="1" t="s">
        <v>2697</v>
      </c>
      <c r="D511" s="1" t="s">
        <v>2717</v>
      </c>
      <c r="E511">
        <v>49999</v>
      </c>
      <c r="F511">
        <v>0.1</v>
      </c>
      <c r="G511">
        <v>4.3</v>
      </c>
      <c r="H511">
        <v>3075</v>
      </c>
    </row>
    <row r="512" spans="1:8" x14ac:dyDescent="0.25">
      <c r="A512" s="1" t="s">
        <v>1015</v>
      </c>
      <c r="B512" s="1" t="s">
        <v>1016</v>
      </c>
      <c r="C512" s="1" t="s">
        <v>2697</v>
      </c>
      <c r="D512" s="1" t="s">
        <v>2719</v>
      </c>
      <c r="E512">
        <v>2999</v>
      </c>
      <c r="F512">
        <v>0.13</v>
      </c>
      <c r="G512">
        <v>3.9</v>
      </c>
      <c r="H512">
        <v>14266</v>
      </c>
    </row>
    <row r="513" spans="1:8" x14ac:dyDescent="0.25">
      <c r="A513" s="1" t="s">
        <v>1017</v>
      </c>
      <c r="B513" s="1" t="s">
        <v>1018</v>
      </c>
      <c r="C513" s="1" t="s">
        <v>2697</v>
      </c>
      <c r="D513" s="1" t="s">
        <v>2715</v>
      </c>
      <c r="E513">
        <v>6499</v>
      </c>
      <c r="F513">
        <v>0.56999999999999995</v>
      </c>
      <c r="G513">
        <v>4.0999999999999996</v>
      </c>
      <c r="H513">
        <v>38879</v>
      </c>
    </row>
    <row r="514" spans="1:8" x14ac:dyDescent="0.25">
      <c r="A514" s="1" t="s">
        <v>1019</v>
      </c>
      <c r="B514" s="1" t="s">
        <v>1020</v>
      </c>
      <c r="C514" s="1" t="s">
        <v>2697</v>
      </c>
      <c r="D514" s="1" t="s">
        <v>2735</v>
      </c>
      <c r="E514">
        <v>2990</v>
      </c>
      <c r="F514">
        <v>0.53</v>
      </c>
      <c r="G514">
        <v>4.0999999999999996</v>
      </c>
      <c r="H514">
        <v>97175</v>
      </c>
    </row>
    <row r="515" spans="1:8" x14ac:dyDescent="0.25">
      <c r="A515" s="1" t="s">
        <v>1021</v>
      </c>
      <c r="B515" s="1" t="s">
        <v>1022</v>
      </c>
      <c r="C515" s="1" t="s">
        <v>2697</v>
      </c>
      <c r="D515" s="1" t="s">
        <v>2718</v>
      </c>
      <c r="E515">
        <v>2400</v>
      </c>
      <c r="F515">
        <v>0.73</v>
      </c>
      <c r="G515">
        <v>4.4000000000000004</v>
      </c>
      <c r="H515">
        <v>67260</v>
      </c>
    </row>
    <row r="516" spans="1:8" x14ac:dyDescent="0.25">
      <c r="A516" s="1" t="s">
        <v>1023</v>
      </c>
      <c r="B516" s="1" t="s">
        <v>1024</v>
      </c>
      <c r="C516" s="1" t="s">
        <v>2697</v>
      </c>
      <c r="D516" s="1" t="s">
        <v>2723</v>
      </c>
      <c r="E516">
        <v>3990</v>
      </c>
      <c r="F516">
        <v>0.8</v>
      </c>
      <c r="G516">
        <v>3.8</v>
      </c>
      <c r="H516">
        <v>119</v>
      </c>
    </row>
    <row r="517" spans="1:8" x14ac:dyDescent="0.25">
      <c r="A517" s="1" t="s">
        <v>1025</v>
      </c>
      <c r="B517" s="1" t="s">
        <v>1026</v>
      </c>
      <c r="C517" s="1" t="s">
        <v>2694</v>
      </c>
      <c r="D517" s="1" t="s">
        <v>2736</v>
      </c>
      <c r="E517">
        <v>149</v>
      </c>
      <c r="F517">
        <v>0</v>
      </c>
      <c r="G517">
        <v>4.3</v>
      </c>
      <c r="H517">
        <v>10833</v>
      </c>
    </row>
    <row r="518" spans="1:8" x14ac:dyDescent="0.25">
      <c r="A518" s="1" t="s">
        <v>1027</v>
      </c>
      <c r="B518" s="1" t="s">
        <v>1028</v>
      </c>
      <c r="C518" s="1" t="s">
        <v>2697</v>
      </c>
      <c r="D518" s="1" t="s">
        <v>2719</v>
      </c>
      <c r="E518">
        <v>5299</v>
      </c>
      <c r="F518">
        <v>0.28000000000000003</v>
      </c>
      <c r="G518">
        <v>3.5</v>
      </c>
      <c r="H518">
        <v>1641</v>
      </c>
    </row>
    <row r="519" spans="1:8" x14ac:dyDescent="0.25">
      <c r="A519" s="1" t="s">
        <v>1029</v>
      </c>
      <c r="B519" s="1" t="s">
        <v>1030</v>
      </c>
      <c r="C519" s="1" t="s">
        <v>2697</v>
      </c>
      <c r="D519" s="1" t="s">
        <v>2733</v>
      </c>
      <c r="E519">
        <v>1899</v>
      </c>
      <c r="F519">
        <v>0.9</v>
      </c>
      <c r="G519">
        <v>4</v>
      </c>
      <c r="H519">
        <v>4740</v>
      </c>
    </row>
    <row r="520" spans="1:8" x14ac:dyDescent="0.25">
      <c r="A520" s="1" t="s">
        <v>1031</v>
      </c>
      <c r="B520" s="1" t="s">
        <v>1032</v>
      </c>
      <c r="C520" s="1" t="s">
        <v>2697</v>
      </c>
      <c r="D520" s="1" t="s">
        <v>2717</v>
      </c>
      <c r="E520">
        <v>32999</v>
      </c>
      <c r="F520">
        <v>0.27</v>
      </c>
      <c r="G520">
        <v>3.9</v>
      </c>
      <c r="H520">
        <v>8866</v>
      </c>
    </row>
    <row r="521" spans="1:8" x14ac:dyDescent="0.25">
      <c r="A521" s="1" t="s">
        <v>1033</v>
      </c>
      <c r="B521" s="1" t="s">
        <v>1034</v>
      </c>
      <c r="C521" s="1" t="s">
        <v>2697</v>
      </c>
      <c r="D521" s="1" t="s">
        <v>2717</v>
      </c>
      <c r="E521">
        <v>39990</v>
      </c>
      <c r="F521">
        <v>0.25</v>
      </c>
      <c r="G521">
        <v>4.3</v>
      </c>
      <c r="H521">
        <v>8399</v>
      </c>
    </row>
    <row r="522" spans="1:8" x14ac:dyDescent="0.25">
      <c r="A522" s="1" t="s">
        <v>1035</v>
      </c>
      <c r="B522" s="1" t="s">
        <v>1036</v>
      </c>
      <c r="C522" s="1" t="s">
        <v>2697</v>
      </c>
      <c r="D522" s="1" t="s">
        <v>2715</v>
      </c>
      <c r="E522">
        <v>1999</v>
      </c>
      <c r="F522">
        <v>0.86</v>
      </c>
      <c r="G522">
        <v>2.8</v>
      </c>
      <c r="H522">
        <v>87</v>
      </c>
    </row>
    <row r="523" spans="1:8" x14ac:dyDescent="0.25">
      <c r="A523" s="1" t="s">
        <v>1037</v>
      </c>
      <c r="B523" s="1" t="s">
        <v>1038</v>
      </c>
      <c r="C523" s="1" t="s">
        <v>2697</v>
      </c>
      <c r="D523" s="1" t="s">
        <v>2717</v>
      </c>
      <c r="E523">
        <v>11999</v>
      </c>
      <c r="F523">
        <v>0.33</v>
      </c>
      <c r="G523">
        <v>3.8</v>
      </c>
      <c r="H523">
        <v>125</v>
      </c>
    </row>
    <row r="524" spans="1:8" x14ac:dyDescent="0.25">
      <c r="A524" s="1" t="s">
        <v>1039</v>
      </c>
      <c r="B524" s="1" t="s">
        <v>1040</v>
      </c>
      <c r="C524" s="1" t="s">
        <v>2697</v>
      </c>
      <c r="D524" s="1" t="s">
        <v>2715</v>
      </c>
      <c r="E524">
        <v>999</v>
      </c>
      <c r="F524">
        <v>0.75</v>
      </c>
      <c r="G524">
        <v>4.5</v>
      </c>
      <c r="H524">
        <v>38</v>
      </c>
    </row>
    <row r="525" spans="1:8" x14ac:dyDescent="0.25">
      <c r="A525" s="1" t="s">
        <v>1041</v>
      </c>
      <c r="B525" s="1" t="s">
        <v>1042</v>
      </c>
      <c r="C525" s="1" t="s">
        <v>2697</v>
      </c>
      <c r="D525" s="1" t="s">
        <v>2730</v>
      </c>
      <c r="E525">
        <v>599</v>
      </c>
      <c r="F525">
        <v>0.5</v>
      </c>
      <c r="G525">
        <v>4.3</v>
      </c>
      <c r="H525">
        <v>4674</v>
      </c>
    </row>
    <row r="526" spans="1:8" x14ac:dyDescent="0.25">
      <c r="A526" s="1" t="s">
        <v>1043</v>
      </c>
      <c r="B526" s="1" t="s">
        <v>1044</v>
      </c>
      <c r="C526" s="1" t="s">
        <v>2697</v>
      </c>
      <c r="D526" s="1" t="s">
        <v>2715</v>
      </c>
      <c r="E526">
        <v>1899</v>
      </c>
      <c r="F526">
        <v>0.74</v>
      </c>
      <c r="G526">
        <v>4.0999999999999996</v>
      </c>
      <c r="H526">
        <v>412</v>
      </c>
    </row>
    <row r="527" spans="1:8" x14ac:dyDescent="0.25">
      <c r="A527" s="1" t="s">
        <v>1045</v>
      </c>
      <c r="B527" s="1" t="s">
        <v>1046</v>
      </c>
      <c r="C527" s="1" t="s">
        <v>2697</v>
      </c>
      <c r="D527" s="1" t="s">
        <v>2715</v>
      </c>
      <c r="E527">
        <v>3499</v>
      </c>
      <c r="F527">
        <v>0.74</v>
      </c>
      <c r="G527">
        <v>3</v>
      </c>
      <c r="H527">
        <v>681</v>
      </c>
    </row>
    <row r="528" spans="1:8" x14ac:dyDescent="0.25">
      <c r="A528" s="1" t="s">
        <v>1047</v>
      </c>
      <c r="B528" s="1" t="s">
        <v>1048</v>
      </c>
      <c r="C528" s="1" t="s">
        <v>2697</v>
      </c>
      <c r="D528" s="1" t="s">
        <v>2716</v>
      </c>
      <c r="E528">
        <v>3499</v>
      </c>
      <c r="F528">
        <v>0.54</v>
      </c>
      <c r="G528">
        <v>4</v>
      </c>
      <c r="H528">
        <v>36384</v>
      </c>
    </row>
    <row r="529" spans="1:8" x14ac:dyDescent="0.25">
      <c r="A529" s="1" t="s">
        <v>1049</v>
      </c>
      <c r="B529" s="1" t="s">
        <v>1050</v>
      </c>
      <c r="C529" s="1" t="s">
        <v>2697</v>
      </c>
      <c r="D529" s="1" t="s">
        <v>2707</v>
      </c>
      <c r="E529">
        <v>999</v>
      </c>
      <c r="F529">
        <v>0.88</v>
      </c>
      <c r="G529">
        <v>3.9</v>
      </c>
      <c r="H529">
        <v>6491</v>
      </c>
    </row>
    <row r="530" spans="1:8" x14ac:dyDescent="0.25">
      <c r="A530" s="1" t="s">
        <v>1051</v>
      </c>
      <c r="B530" s="1" t="s">
        <v>1052</v>
      </c>
      <c r="C530" s="1" t="s">
        <v>2697</v>
      </c>
      <c r="D530" s="1" t="s">
        <v>2715</v>
      </c>
      <c r="E530">
        <v>6999</v>
      </c>
      <c r="F530">
        <v>0.43</v>
      </c>
      <c r="G530">
        <v>4.0999999999999996</v>
      </c>
      <c r="H530">
        <v>10229</v>
      </c>
    </row>
    <row r="531" spans="1:8" x14ac:dyDescent="0.25">
      <c r="A531" s="1" t="s">
        <v>1053</v>
      </c>
      <c r="B531" s="1" t="s">
        <v>959</v>
      </c>
      <c r="C531" s="1" t="s">
        <v>2697</v>
      </c>
      <c r="D531" s="1" t="s">
        <v>2717</v>
      </c>
      <c r="E531">
        <v>18999</v>
      </c>
      <c r="F531">
        <v>0.32</v>
      </c>
      <c r="G531">
        <v>4.0999999999999996</v>
      </c>
      <c r="H531">
        <v>50772</v>
      </c>
    </row>
    <row r="532" spans="1:8" x14ac:dyDescent="0.25">
      <c r="A532" s="1" t="s">
        <v>1054</v>
      </c>
      <c r="B532" s="1" t="s">
        <v>1055</v>
      </c>
      <c r="C532" s="1" t="s">
        <v>2697</v>
      </c>
      <c r="D532" s="1" t="s">
        <v>2733</v>
      </c>
      <c r="E532">
        <v>2599</v>
      </c>
      <c r="F532">
        <v>0.38</v>
      </c>
      <c r="G532">
        <v>4.3</v>
      </c>
      <c r="H532">
        <v>1801</v>
      </c>
    </row>
    <row r="533" spans="1:8" x14ac:dyDescent="0.25">
      <c r="A533" s="1" t="s">
        <v>1056</v>
      </c>
      <c r="B533" s="1" t="s">
        <v>1057</v>
      </c>
      <c r="C533" s="1" t="s">
        <v>2697</v>
      </c>
      <c r="D533" s="1" t="s">
        <v>2723</v>
      </c>
      <c r="E533">
        <v>1199</v>
      </c>
      <c r="F533">
        <v>0.42</v>
      </c>
      <c r="G533">
        <v>4</v>
      </c>
      <c r="H533">
        <v>14404</v>
      </c>
    </row>
    <row r="534" spans="1:8" x14ac:dyDescent="0.25">
      <c r="A534" s="1" t="s">
        <v>1058</v>
      </c>
      <c r="B534" s="1" t="s">
        <v>1059</v>
      </c>
      <c r="C534" s="1" t="s">
        <v>2697</v>
      </c>
      <c r="D534" s="1" t="s">
        <v>2737</v>
      </c>
      <c r="E534">
        <v>999</v>
      </c>
      <c r="F534">
        <v>0.9</v>
      </c>
      <c r="G534">
        <v>4.4000000000000004</v>
      </c>
      <c r="H534">
        <v>305</v>
      </c>
    </row>
    <row r="535" spans="1:8" x14ac:dyDescent="0.25">
      <c r="A535" s="1" t="s">
        <v>1060</v>
      </c>
      <c r="B535" s="1" t="s">
        <v>1061</v>
      </c>
      <c r="C535" s="1" t="s">
        <v>2697</v>
      </c>
      <c r="D535" s="1" t="s">
        <v>2717</v>
      </c>
      <c r="E535">
        <v>9999</v>
      </c>
      <c r="F535">
        <v>0.21</v>
      </c>
      <c r="G535">
        <v>4.3</v>
      </c>
      <c r="H535">
        <v>1376</v>
      </c>
    </row>
    <row r="536" spans="1:8" x14ac:dyDescent="0.25">
      <c r="A536" s="1" t="s">
        <v>1062</v>
      </c>
      <c r="B536" s="1" t="s">
        <v>1063</v>
      </c>
      <c r="C536" s="1" t="s">
        <v>2697</v>
      </c>
      <c r="D536" s="1" t="s">
        <v>2715</v>
      </c>
      <c r="E536">
        <v>7999</v>
      </c>
      <c r="F536">
        <v>0.81</v>
      </c>
      <c r="G536">
        <v>4.2</v>
      </c>
      <c r="H536">
        <v>22638</v>
      </c>
    </row>
    <row r="537" spans="1:8" x14ac:dyDescent="0.25">
      <c r="A537" s="1" t="s">
        <v>1064</v>
      </c>
      <c r="B537" s="1" t="s">
        <v>1065</v>
      </c>
      <c r="C537" s="1" t="s">
        <v>2697</v>
      </c>
      <c r="D537" s="1" t="s">
        <v>2719</v>
      </c>
      <c r="E537">
        <v>1249</v>
      </c>
      <c r="F537">
        <v>0.16</v>
      </c>
      <c r="G537">
        <v>3.8</v>
      </c>
      <c r="H537">
        <v>2352</v>
      </c>
    </row>
    <row r="538" spans="1:8" x14ac:dyDescent="0.25">
      <c r="A538" s="1" t="s">
        <v>1066</v>
      </c>
      <c r="B538" s="1" t="s">
        <v>1067</v>
      </c>
      <c r="C538" s="1" t="s">
        <v>2697</v>
      </c>
      <c r="D538" s="1" t="s">
        <v>2730</v>
      </c>
      <c r="E538">
        <v>599</v>
      </c>
      <c r="F538">
        <v>0.75</v>
      </c>
      <c r="G538">
        <v>4.3</v>
      </c>
      <c r="H538">
        <v>714</v>
      </c>
    </row>
    <row r="539" spans="1:8" x14ac:dyDescent="0.25">
      <c r="A539" s="1" t="s">
        <v>1068</v>
      </c>
      <c r="B539" s="1" t="s">
        <v>1069</v>
      </c>
      <c r="C539" s="1" t="s">
        <v>2697</v>
      </c>
      <c r="D539" s="1" t="s">
        <v>2733</v>
      </c>
      <c r="E539">
        <v>1799</v>
      </c>
      <c r="F539">
        <v>0.74</v>
      </c>
      <c r="G539">
        <v>4.3</v>
      </c>
      <c r="H539">
        <v>1454</v>
      </c>
    </row>
    <row r="540" spans="1:8" x14ac:dyDescent="0.25">
      <c r="A540" s="1" t="s">
        <v>1070</v>
      </c>
      <c r="B540" s="1" t="s">
        <v>1071</v>
      </c>
      <c r="C540" s="1" t="s">
        <v>2697</v>
      </c>
      <c r="D540" s="1" t="s">
        <v>2723</v>
      </c>
      <c r="E540">
        <v>599</v>
      </c>
      <c r="F540">
        <v>0.6</v>
      </c>
      <c r="G540">
        <v>3.9</v>
      </c>
      <c r="H540">
        <v>2147</v>
      </c>
    </row>
    <row r="541" spans="1:8" x14ac:dyDescent="0.25">
      <c r="A541" s="1" t="s">
        <v>1072</v>
      </c>
      <c r="B541" s="1" t="s">
        <v>1073</v>
      </c>
      <c r="C541" s="1" t="s">
        <v>2697</v>
      </c>
      <c r="D541" s="1" t="s">
        <v>2717</v>
      </c>
      <c r="E541">
        <v>9499</v>
      </c>
      <c r="F541">
        <v>0.21</v>
      </c>
      <c r="G541">
        <v>4.0999999999999996</v>
      </c>
      <c r="H541">
        <v>313832</v>
      </c>
    </row>
    <row r="542" spans="1:8" x14ac:dyDescent="0.25">
      <c r="A542" s="1" t="s">
        <v>1074</v>
      </c>
      <c r="B542" s="1" t="s">
        <v>1075</v>
      </c>
      <c r="C542" s="1" t="s">
        <v>2697</v>
      </c>
      <c r="D542" s="1" t="s">
        <v>2715</v>
      </c>
      <c r="E542">
        <v>999</v>
      </c>
      <c r="F542">
        <v>0.73</v>
      </c>
      <c r="G542">
        <v>3.7</v>
      </c>
      <c r="H542">
        <v>465</v>
      </c>
    </row>
    <row r="543" spans="1:8" x14ac:dyDescent="0.25">
      <c r="A543" s="1" t="s">
        <v>1076</v>
      </c>
      <c r="B543" s="1" t="s">
        <v>1077</v>
      </c>
      <c r="C543" s="1" t="s">
        <v>2697</v>
      </c>
      <c r="D543" s="1" t="s">
        <v>2717</v>
      </c>
      <c r="E543">
        <v>74999</v>
      </c>
      <c r="F543">
        <v>0.49</v>
      </c>
      <c r="G543">
        <v>4.2</v>
      </c>
      <c r="H543">
        <v>27790</v>
      </c>
    </row>
    <row r="544" spans="1:8" x14ac:dyDescent="0.25">
      <c r="A544" s="1" t="s">
        <v>1078</v>
      </c>
      <c r="B544" s="1" t="s">
        <v>1079</v>
      </c>
      <c r="C544" s="1" t="s">
        <v>2697</v>
      </c>
      <c r="D544" s="1" t="s">
        <v>2726</v>
      </c>
      <c r="E544">
        <v>3999</v>
      </c>
      <c r="F544">
        <v>0.55000000000000004</v>
      </c>
      <c r="G544">
        <v>4.5999999999999996</v>
      </c>
      <c r="H544">
        <v>245</v>
      </c>
    </row>
    <row r="545" spans="1:8" x14ac:dyDescent="0.25">
      <c r="A545" s="1" t="s">
        <v>1080</v>
      </c>
      <c r="B545" s="1" t="s">
        <v>1081</v>
      </c>
      <c r="C545" s="1" t="s">
        <v>2697</v>
      </c>
      <c r="D545" s="1" t="s">
        <v>2717</v>
      </c>
      <c r="E545">
        <v>11999</v>
      </c>
      <c r="F545">
        <v>0.28999999999999998</v>
      </c>
      <c r="G545">
        <v>3.9</v>
      </c>
      <c r="H545">
        <v>276</v>
      </c>
    </row>
    <row r="546" spans="1:8" x14ac:dyDescent="0.25">
      <c r="A546" s="1" t="s">
        <v>1082</v>
      </c>
      <c r="B546" s="1" t="s">
        <v>1083</v>
      </c>
      <c r="C546" s="1" t="s">
        <v>2697</v>
      </c>
      <c r="D546" s="1" t="s">
        <v>2715</v>
      </c>
      <c r="E546">
        <v>3999</v>
      </c>
      <c r="F546">
        <v>0.5</v>
      </c>
      <c r="G546">
        <v>4</v>
      </c>
      <c r="H546">
        <v>30254</v>
      </c>
    </row>
    <row r="547" spans="1:8" x14ac:dyDescent="0.25">
      <c r="A547" s="1" t="s">
        <v>1084</v>
      </c>
      <c r="B547" s="1" t="s">
        <v>747</v>
      </c>
      <c r="C547" s="1" t="s">
        <v>2697</v>
      </c>
      <c r="D547" s="1" t="s">
        <v>2715</v>
      </c>
      <c r="E547">
        <v>17999</v>
      </c>
      <c r="F547">
        <v>0.78</v>
      </c>
      <c r="G547">
        <v>4.3</v>
      </c>
      <c r="H547">
        <v>17161</v>
      </c>
    </row>
    <row r="548" spans="1:8" x14ac:dyDescent="0.25">
      <c r="A548" s="1" t="s">
        <v>1085</v>
      </c>
      <c r="B548" s="1" t="s">
        <v>1086</v>
      </c>
      <c r="C548" s="1" t="s">
        <v>2697</v>
      </c>
      <c r="D548" s="1" t="s">
        <v>2723</v>
      </c>
      <c r="E548">
        <v>499</v>
      </c>
      <c r="F548">
        <v>0.56000000000000005</v>
      </c>
      <c r="G548">
        <v>4.4000000000000004</v>
      </c>
      <c r="H548">
        <v>14</v>
      </c>
    </row>
    <row r="549" spans="1:8" x14ac:dyDescent="0.25">
      <c r="A549" s="1" t="s">
        <v>1087</v>
      </c>
      <c r="B549" s="1" t="s">
        <v>1088</v>
      </c>
      <c r="C549" s="1" t="s">
        <v>2697</v>
      </c>
      <c r="D549" s="1" t="s">
        <v>2726</v>
      </c>
      <c r="E549">
        <v>1399</v>
      </c>
      <c r="F549">
        <v>0.56999999999999995</v>
      </c>
      <c r="G549">
        <v>4.0999999999999996</v>
      </c>
      <c r="H549">
        <v>14560</v>
      </c>
    </row>
    <row r="550" spans="1:8" x14ac:dyDescent="0.25">
      <c r="A550" s="1" t="s">
        <v>1089</v>
      </c>
      <c r="B550" s="1" t="s">
        <v>1090</v>
      </c>
      <c r="C550" s="1" t="s">
        <v>2697</v>
      </c>
      <c r="D550" s="1" t="s">
        <v>2716</v>
      </c>
      <c r="E550">
        <v>2999</v>
      </c>
      <c r="F550">
        <v>0.17</v>
      </c>
      <c r="G550">
        <v>4.0999999999999996</v>
      </c>
      <c r="H550">
        <v>3156</v>
      </c>
    </row>
    <row r="551" spans="1:8" x14ac:dyDescent="0.25">
      <c r="A551" s="1" t="s">
        <v>1091</v>
      </c>
      <c r="B551" s="1" t="s">
        <v>1092</v>
      </c>
      <c r="C551" s="1" t="s">
        <v>2697</v>
      </c>
      <c r="D551" s="1" t="s">
        <v>2738</v>
      </c>
      <c r="E551">
        <v>499</v>
      </c>
      <c r="F551">
        <v>0.82</v>
      </c>
      <c r="G551">
        <v>4.0999999999999996</v>
      </c>
      <c r="H551">
        <v>9340</v>
      </c>
    </row>
    <row r="552" spans="1:8" x14ac:dyDescent="0.25">
      <c r="A552" s="1" t="s">
        <v>1093</v>
      </c>
      <c r="B552" s="1" t="s">
        <v>1094</v>
      </c>
      <c r="C552" s="1" t="s">
        <v>2697</v>
      </c>
      <c r="D552" s="1" t="s">
        <v>2715</v>
      </c>
      <c r="E552">
        <v>11999</v>
      </c>
      <c r="F552">
        <v>0.75</v>
      </c>
      <c r="G552">
        <v>4.4000000000000004</v>
      </c>
      <c r="H552">
        <v>768</v>
      </c>
    </row>
    <row r="553" spans="1:8" x14ac:dyDescent="0.25">
      <c r="A553" s="1" t="s">
        <v>1095</v>
      </c>
      <c r="B553" s="1" t="s">
        <v>1096</v>
      </c>
      <c r="C553" s="1" t="s">
        <v>2697</v>
      </c>
      <c r="D553" s="1" t="s">
        <v>2727</v>
      </c>
      <c r="E553">
        <v>1499</v>
      </c>
      <c r="F553">
        <v>0.79</v>
      </c>
      <c r="G553">
        <v>4.5</v>
      </c>
      <c r="H553">
        <v>28978</v>
      </c>
    </row>
    <row r="554" spans="1:8" x14ac:dyDescent="0.25">
      <c r="A554" s="1" t="s">
        <v>1097</v>
      </c>
      <c r="B554" s="1" t="s">
        <v>1098</v>
      </c>
      <c r="C554" s="1" t="s">
        <v>2697</v>
      </c>
      <c r="D554" s="1" t="s">
        <v>2717</v>
      </c>
      <c r="E554">
        <v>19499</v>
      </c>
      <c r="F554">
        <v>0.28000000000000003</v>
      </c>
      <c r="G554">
        <v>4.0999999999999996</v>
      </c>
      <c r="H554">
        <v>18998</v>
      </c>
    </row>
    <row r="555" spans="1:8" x14ac:dyDescent="0.25">
      <c r="A555" s="1" t="s">
        <v>1099</v>
      </c>
      <c r="B555" s="1" t="s">
        <v>1100</v>
      </c>
      <c r="C555" s="1" t="s">
        <v>2697</v>
      </c>
      <c r="D555" s="1" t="s">
        <v>2724</v>
      </c>
      <c r="E555">
        <v>499</v>
      </c>
      <c r="F555">
        <v>0.72</v>
      </c>
      <c r="G555">
        <v>4.2</v>
      </c>
      <c r="H555">
        <v>4971</v>
      </c>
    </row>
    <row r="556" spans="1:8" x14ac:dyDescent="0.25">
      <c r="A556" s="1" t="s">
        <v>1101</v>
      </c>
      <c r="B556" s="1" t="s">
        <v>1102</v>
      </c>
      <c r="C556" s="1" t="s">
        <v>2697</v>
      </c>
      <c r="D556" s="1" t="s">
        <v>2731</v>
      </c>
      <c r="E556">
        <v>6999</v>
      </c>
      <c r="F556">
        <v>0.63</v>
      </c>
      <c r="G556">
        <v>4.5</v>
      </c>
      <c r="H556">
        <v>1526</v>
      </c>
    </row>
    <row r="557" spans="1:8" x14ac:dyDescent="0.25">
      <c r="A557" s="1" t="s">
        <v>1103</v>
      </c>
      <c r="B557" s="1" t="s">
        <v>1104</v>
      </c>
      <c r="C557" s="1" t="s">
        <v>2697</v>
      </c>
      <c r="D557" s="1" t="s">
        <v>2720</v>
      </c>
      <c r="E557">
        <v>999</v>
      </c>
      <c r="F557">
        <v>0.63</v>
      </c>
      <c r="G557">
        <v>4.0999999999999996</v>
      </c>
      <c r="H557">
        <v>363711</v>
      </c>
    </row>
    <row r="558" spans="1:8" x14ac:dyDescent="0.25">
      <c r="A558" s="1" t="s">
        <v>1105</v>
      </c>
      <c r="B558" s="1" t="s">
        <v>1106</v>
      </c>
      <c r="C558" s="1" t="s">
        <v>2697</v>
      </c>
      <c r="D558" s="1" t="s">
        <v>2720</v>
      </c>
      <c r="E558">
        <v>4490</v>
      </c>
      <c r="F558">
        <v>0.67</v>
      </c>
      <c r="G558">
        <v>3.9</v>
      </c>
      <c r="H558">
        <v>136954</v>
      </c>
    </row>
    <row r="559" spans="1:8" x14ac:dyDescent="0.25">
      <c r="A559" s="1" t="s">
        <v>1107</v>
      </c>
      <c r="B559" s="1" t="s">
        <v>1108</v>
      </c>
      <c r="C559" s="1" t="s">
        <v>2694</v>
      </c>
      <c r="D559" s="1" t="s">
        <v>2739</v>
      </c>
      <c r="E559">
        <v>650</v>
      </c>
      <c r="F559">
        <v>0.56000000000000005</v>
      </c>
      <c r="G559">
        <v>4.3</v>
      </c>
      <c r="H559">
        <v>253105</v>
      </c>
    </row>
    <row r="560" spans="1:8" x14ac:dyDescent="0.25">
      <c r="A560" s="1" t="s">
        <v>1109</v>
      </c>
      <c r="B560" s="1" t="s">
        <v>1110</v>
      </c>
      <c r="C560" s="1" t="s">
        <v>2694</v>
      </c>
      <c r="D560" s="1" t="s">
        <v>2740</v>
      </c>
      <c r="E560">
        <v>895</v>
      </c>
      <c r="F560">
        <v>0.33</v>
      </c>
      <c r="G560">
        <v>4.4000000000000004</v>
      </c>
      <c r="H560">
        <v>61314</v>
      </c>
    </row>
    <row r="561" spans="1:8" x14ac:dyDescent="0.25">
      <c r="A561" s="1" t="s">
        <v>1111</v>
      </c>
      <c r="B561" s="1" t="s">
        <v>1112</v>
      </c>
      <c r="C561" s="1" t="s">
        <v>2694</v>
      </c>
      <c r="D561" s="1" t="s">
        <v>2741</v>
      </c>
      <c r="E561">
        <v>237</v>
      </c>
      <c r="F561">
        <v>0.08</v>
      </c>
      <c r="G561">
        <v>3.8</v>
      </c>
      <c r="H561">
        <v>7354</v>
      </c>
    </row>
    <row r="562" spans="1:8" x14ac:dyDescent="0.25">
      <c r="A562" s="1" t="s">
        <v>1113</v>
      </c>
      <c r="B562" s="1" t="s">
        <v>1114</v>
      </c>
      <c r="C562" s="1" t="s">
        <v>2697</v>
      </c>
      <c r="D562" s="1" t="s">
        <v>2720</v>
      </c>
      <c r="E562">
        <v>2990</v>
      </c>
      <c r="F562">
        <v>0.56999999999999995</v>
      </c>
      <c r="G562">
        <v>3.8</v>
      </c>
      <c r="H562">
        <v>180998</v>
      </c>
    </row>
    <row r="563" spans="1:8" x14ac:dyDescent="0.25">
      <c r="A563" s="1" t="s">
        <v>1115</v>
      </c>
      <c r="B563" s="1" t="s">
        <v>1116</v>
      </c>
      <c r="C563" s="1" t="s">
        <v>2694</v>
      </c>
      <c r="D563" s="1" t="s">
        <v>2742</v>
      </c>
      <c r="E563">
        <v>699</v>
      </c>
      <c r="F563">
        <v>0.62</v>
      </c>
      <c r="G563">
        <v>3.5</v>
      </c>
      <c r="H563">
        <v>690</v>
      </c>
    </row>
    <row r="564" spans="1:8" x14ac:dyDescent="0.25">
      <c r="A564" s="1" t="s">
        <v>1117</v>
      </c>
      <c r="B564" s="1" t="s">
        <v>1118</v>
      </c>
      <c r="C564" s="1" t="s">
        <v>2697</v>
      </c>
      <c r="D564" s="1" t="s">
        <v>2720</v>
      </c>
      <c r="E564">
        <v>3990</v>
      </c>
      <c r="F564">
        <v>0.65</v>
      </c>
      <c r="G564">
        <v>4.0999999999999996</v>
      </c>
      <c r="H564">
        <v>141841</v>
      </c>
    </row>
    <row r="565" spans="1:8" x14ac:dyDescent="0.25">
      <c r="A565" s="1" t="s">
        <v>1119</v>
      </c>
      <c r="B565" s="1" t="s">
        <v>1120</v>
      </c>
      <c r="C565" s="1" t="s">
        <v>2694</v>
      </c>
      <c r="D565" s="1" t="s">
        <v>2743</v>
      </c>
      <c r="E565">
        <v>1499</v>
      </c>
      <c r="F565">
        <v>0.77</v>
      </c>
      <c r="G565">
        <v>4.3</v>
      </c>
      <c r="H565">
        <v>24791</v>
      </c>
    </row>
    <row r="566" spans="1:8" x14ac:dyDescent="0.25">
      <c r="A566" s="1" t="s">
        <v>1121</v>
      </c>
      <c r="B566" s="1" t="s">
        <v>1122</v>
      </c>
      <c r="C566" s="1" t="s">
        <v>2697</v>
      </c>
      <c r="D566" s="1" t="s">
        <v>2720</v>
      </c>
      <c r="E566">
        <v>399</v>
      </c>
      <c r="F566">
        <v>0.63</v>
      </c>
      <c r="G566">
        <v>3.5</v>
      </c>
      <c r="H566">
        <v>21764</v>
      </c>
    </row>
    <row r="567" spans="1:8" x14ac:dyDescent="0.25">
      <c r="A567" s="1" t="s">
        <v>1123</v>
      </c>
      <c r="B567" s="1" t="s">
        <v>1124</v>
      </c>
      <c r="C567" s="1" t="s">
        <v>2697</v>
      </c>
      <c r="D567" s="1" t="s">
        <v>2735</v>
      </c>
      <c r="E567">
        <v>3990</v>
      </c>
      <c r="F567">
        <v>0.69</v>
      </c>
      <c r="G567">
        <v>4.0999999999999996</v>
      </c>
      <c r="H567">
        <v>107151</v>
      </c>
    </row>
    <row r="568" spans="1:8" x14ac:dyDescent="0.25">
      <c r="A568" s="1" t="s">
        <v>1125</v>
      </c>
      <c r="B568" s="1" t="s">
        <v>1126</v>
      </c>
      <c r="C568" s="1" t="s">
        <v>2697</v>
      </c>
      <c r="D568" s="1" t="s">
        <v>2720</v>
      </c>
      <c r="E568">
        <v>999</v>
      </c>
      <c r="F568">
        <v>0.5</v>
      </c>
      <c r="G568">
        <v>3.9</v>
      </c>
      <c r="H568">
        <v>92995</v>
      </c>
    </row>
    <row r="569" spans="1:8" x14ac:dyDescent="0.25">
      <c r="A569" s="1" t="s">
        <v>1127</v>
      </c>
      <c r="B569" s="1" t="s">
        <v>1128</v>
      </c>
      <c r="C569" s="1" t="s">
        <v>2694</v>
      </c>
      <c r="D569" s="1" t="s">
        <v>2728</v>
      </c>
      <c r="E569">
        <v>999</v>
      </c>
      <c r="F569">
        <v>0.9</v>
      </c>
      <c r="G569">
        <v>4.0999999999999996</v>
      </c>
      <c r="H569">
        <v>8751</v>
      </c>
    </row>
    <row r="570" spans="1:8" x14ac:dyDescent="0.25">
      <c r="A570" s="1" t="s">
        <v>1129</v>
      </c>
      <c r="B570" s="1" t="s">
        <v>1130</v>
      </c>
      <c r="C570" s="1" t="s">
        <v>2694</v>
      </c>
      <c r="D570" s="1" t="s">
        <v>2739</v>
      </c>
      <c r="E570">
        <v>1500</v>
      </c>
      <c r="F570">
        <v>0.68</v>
      </c>
      <c r="G570">
        <v>4.2</v>
      </c>
      <c r="H570">
        <v>64273</v>
      </c>
    </row>
    <row r="571" spans="1:8" x14ac:dyDescent="0.25">
      <c r="A571" s="1" t="s">
        <v>1131</v>
      </c>
      <c r="B571" s="1" t="s">
        <v>1132</v>
      </c>
      <c r="C571" s="1" t="s">
        <v>2694</v>
      </c>
      <c r="D571" s="1" t="s">
        <v>2740</v>
      </c>
      <c r="E571">
        <v>649</v>
      </c>
      <c r="F571">
        <v>0.59</v>
      </c>
      <c r="G571">
        <v>4.3</v>
      </c>
      <c r="H571">
        <v>54315</v>
      </c>
    </row>
    <row r="572" spans="1:8" x14ac:dyDescent="0.25">
      <c r="A572" s="1" t="s">
        <v>1133</v>
      </c>
      <c r="B572" s="1" t="s">
        <v>1134</v>
      </c>
      <c r="C572" s="1" t="s">
        <v>2694</v>
      </c>
      <c r="D572" s="1" t="s">
        <v>2740</v>
      </c>
      <c r="E572">
        <v>599</v>
      </c>
      <c r="F572">
        <v>0.5</v>
      </c>
      <c r="G572">
        <v>4.0999999999999996</v>
      </c>
      <c r="H572">
        <v>1597</v>
      </c>
    </row>
    <row r="573" spans="1:8" x14ac:dyDescent="0.25">
      <c r="A573" s="1" t="s">
        <v>1135</v>
      </c>
      <c r="B573" s="1" t="s">
        <v>1136</v>
      </c>
      <c r="C573" s="1" t="s">
        <v>2697</v>
      </c>
      <c r="D573" s="1" t="s">
        <v>2720</v>
      </c>
      <c r="E573">
        <v>999</v>
      </c>
      <c r="F573">
        <v>0.67</v>
      </c>
      <c r="G573">
        <v>3.9</v>
      </c>
      <c r="H573">
        <v>77027</v>
      </c>
    </row>
    <row r="574" spans="1:8" x14ac:dyDescent="0.25">
      <c r="A574" s="1" t="s">
        <v>1137</v>
      </c>
      <c r="B574" s="1" t="s">
        <v>1138</v>
      </c>
      <c r="C574" s="1" t="s">
        <v>2694</v>
      </c>
      <c r="D574" s="1" t="s">
        <v>2744</v>
      </c>
      <c r="E574">
        <v>1799</v>
      </c>
      <c r="F574">
        <v>0.69</v>
      </c>
      <c r="G574">
        <v>4.3</v>
      </c>
      <c r="H574">
        <v>28829</v>
      </c>
    </row>
    <row r="575" spans="1:8" x14ac:dyDescent="0.25">
      <c r="A575" s="1" t="s">
        <v>1139</v>
      </c>
      <c r="B575" s="1" t="s">
        <v>1140</v>
      </c>
      <c r="C575" s="1" t="s">
        <v>2694</v>
      </c>
      <c r="D575" s="1" t="s">
        <v>2740</v>
      </c>
      <c r="E575">
        <v>650</v>
      </c>
      <c r="F575">
        <v>0.54</v>
      </c>
      <c r="G575">
        <v>4.5</v>
      </c>
      <c r="H575">
        <v>33176</v>
      </c>
    </row>
    <row r="576" spans="1:8" x14ac:dyDescent="0.25">
      <c r="A576" s="1" t="s">
        <v>1141</v>
      </c>
      <c r="B576" s="1" t="s">
        <v>1142</v>
      </c>
      <c r="C576" s="1" t="s">
        <v>2745</v>
      </c>
      <c r="D576" s="1" t="s">
        <v>2746</v>
      </c>
      <c r="E576">
        <v>1995</v>
      </c>
      <c r="F576">
        <v>0.6</v>
      </c>
      <c r="G576">
        <v>4</v>
      </c>
      <c r="H576">
        <v>68664</v>
      </c>
    </row>
    <row r="577" spans="1:8" x14ac:dyDescent="0.25">
      <c r="A577" s="1" t="s">
        <v>1143</v>
      </c>
      <c r="B577" s="1" t="s">
        <v>1144</v>
      </c>
      <c r="C577" s="1" t="s">
        <v>2697</v>
      </c>
      <c r="D577" s="1" t="s">
        <v>2747</v>
      </c>
      <c r="E577">
        <v>315</v>
      </c>
      <c r="F577">
        <v>0.16</v>
      </c>
      <c r="G577">
        <v>4.5</v>
      </c>
      <c r="H577">
        <v>28030</v>
      </c>
    </row>
    <row r="578" spans="1:8" x14ac:dyDescent="0.25">
      <c r="A578" s="1" t="s">
        <v>1145</v>
      </c>
      <c r="B578" s="1" t="s">
        <v>1146</v>
      </c>
      <c r="C578" s="1" t="s">
        <v>2748</v>
      </c>
      <c r="D578" s="1" t="s">
        <v>2749</v>
      </c>
      <c r="E578">
        <v>50</v>
      </c>
      <c r="F578">
        <v>0</v>
      </c>
      <c r="G578">
        <v>4.3</v>
      </c>
      <c r="H578">
        <v>5792</v>
      </c>
    </row>
    <row r="579" spans="1:8" x14ac:dyDescent="0.25">
      <c r="A579" s="1" t="s">
        <v>1147</v>
      </c>
      <c r="B579" s="1" t="s">
        <v>1148</v>
      </c>
      <c r="C579" s="1" t="s">
        <v>2750</v>
      </c>
      <c r="D579" s="1" t="s">
        <v>2751</v>
      </c>
      <c r="E579">
        <v>165</v>
      </c>
      <c r="F579">
        <v>0.21</v>
      </c>
      <c r="G579">
        <v>3.9</v>
      </c>
      <c r="H579">
        <v>14778</v>
      </c>
    </row>
    <row r="580" spans="1:8" x14ac:dyDescent="0.25">
      <c r="A580" s="1" t="s">
        <v>1149</v>
      </c>
      <c r="B580" s="1" t="s">
        <v>1150</v>
      </c>
      <c r="C580" s="1" t="s">
        <v>2697</v>
      </c>
      <c r="D580" s="1" t="s">
        <v>2720</v>
      </c>
      <c r="E580">
        <v>1290</v>
      </c>
      <c r="F580">
        <v>0.65</v>
      </c>
      <c r="G580">
        <v>4.0999999999999996</v>
      </c>
      <c r="H580">
        <v>91770</v>
      </c>
    </row>
    <row r="581" spans="1:8" x14ac:dyDescent="0.25">
      <c r="A581" s="1" t="s">
        <v>1151</v>
      </c>
      <c r="B581" s="1" t="s">
        <v>1152</v>
      </c>
      <c r="C581" s="1" t="s">
        <v>2697</v>
      </c>
      <c r="D581" s="1" t="s">
        <v>2720</v>
      </c>
      <c r="E581">
        <v>1290</v>
      </c>
      <c r="F581">
        <v>0.69</v>
      </c>
      <c r="G581">
        <v>4.2</v>
      </c>
      <c r="H581">
        <v>206</v>
      </c>
    </row>
    <row r="582" spans="1:8" x14ac:dyDescent="0.25">
      <c r="A582" s="1" t="s">
        <v>1153</v>
      </c>
      <c r="B582" s="1" t="s">
        <v>1154</v>
      </c>
      <c r="C582" s="1" t="s">
        <v>2694</v>
      </c>
      <c r="D582" s="1" t="s">
        <v>2752</v>
      </c>
      <c r="E582">
        <v>2498</v>
      </c>
      <c r="F582">
        <v>0.44</v>
      </c>
      <c r="G582">
        <v>4.2</v>
      </c>
      <c r="H582">
        <v>33717</v>
      </c>
    </row>
    <row r="583" spans="1:8" x14ac:dyDescent="0.25">
      <c r="A583" s="1" t="s">
        <v>1155</v>
      </c>
      <c r="B583" s="1" t="s">
        <v>1156</v>
      </c>
      <c r="C583" s="1" t="s">
        <v>2694</v>
      </c>
      <c r="D583" s="1" t="s">
        <v>2753</v>
      </c>
      <c r="E583">
        <v>4999</v>
      </c>
      <c r="F583">
        <v>0.18</v>
      </c>
      <c r="G583">
        <v>4.5</v>
      </c>
      <c r="H583">
        <v>50810</v>
      </c>
    </row>
    <row r="584" spans="1:8" x14ac:dyDescent="0.25">
      <c r="A584" s="1" t="s">
        <v>1157</v>
      </c>
      <c r="B584" s="1" t="s">
        <v>1158</v>
      </c>
      <c r="C584" s="1" t="s">
        <v>2697</v>
      </c>
      <c r="D584" s="1" t="s">
        <v>2754</v>
      </c>
      <c r="E584">
        <v>1999</v>
      </c>
      <c r="F584">
        <v>0.75</v>
      </c>
      <c r="G584">
        <v>3.7</v>
      </c>
      <c r="H584">
        <v>3369</v>
      </c>
    </row>
    <row r="585" spans="1:8" x14ac:dyDescent="0.25">
      <c r="A585" s="1" t="s">
        <v>1159</v>
      </c>
      <c r="B585" s="1" t="s">
        <v>1160</v>
      </c>
      <c r="C585" s="1" t="s">
        <v>2694</v>
      </c>
      <c r="D585" s="1" t="s">
        <v>2740</v>
      </c>
      <c r="E585">
        <v>449</v>
      </c>
      <c r="F585">
        <v>0.33</v>
      </c>
      <c r="G585">
        <v>3.5</v>
      </c>
      <c r="H585">
        <v>11827</v>
      </c>
    </row>
    <row r="586" spans="1:8" x14ac:dyDescent="0.25">
      <c r="A586" s="1" t="s">
        <v>1161</v>
      </c>
      <c r="B586" s="1" t="s">
        <v>1162</v>
      </c>
      <c r="C586" s="1" t="s">
        <v>2694</v>
      </c>
      <c r="D586" s="1" t="s">
        <v>2752</v>
      </c>
      <c r="E586">
        <v>999</v>
      </c>
      <c r="F586">
        <v>0.3</v>
      </c>
      <c r="G586">
        <v>3.5</v>
      </c>
      <c r="H586">
        <v>15295</v>
      </c>
    </row>
    <row r="587" spans="1:8" x14ac:dyDescent="0.25">
      <c r="A587" s="1" t="s">
        <v>1163</v>
      </c>
      <c r="B587" s="1" t="s">
        <v>1164</v>
      </c>
      <c r="C587" s="1" t="s">
        <v>2697</v>
      </c>
      <c r="D587" s="1" t="s">
        <v>2755</v>
      </c>
      <c r="E587">
        <v>3990</v>
      </c>
      <c r="F587">
        <v>0.8</v>
      </c>
      <c r="G587">
        <v>4.3</v>
      </c>
      <c r="H587">
        <v>27139</v>
      </c>
    </row>
    <row r="588" spans="1:8" x14ac:dyDescent="0.25">
      <c r="A588" s="1" t="s">
        <v>1165</v>
      </c>
      <c r="B588" s="1" t="s">
        <v>1166</v>
      </c>
      <c r="C588" s="1" t="s">
        <v>2697</v>
      </c>
      <c r="D588" s="1" t="s">
        <v>2720</v>
      </c>
      <c r="E588">
        <v>5499</v>
      </c>
      <c r="F588">
        <v>0.75</v>
      </c>
      <c r="G588">
        <v>3.9</v>
      </c>
      <c r="H588">
        <v>9504</v>
      </c>
    </row>
    <row r="589" spans="1:8" x14ac:dyDescent="0.25">
      <c r="A589" s="1" t="s">
        <v>1167</v>
      </c>
      <c r="B589" s="1" t="s">
        <v>1168</v>
      </c>
      <c r="C589" s="1" t="s">
        <v>2694</v>
      </c>
      <c r="D589" s="1" t="s">
        <v>2739</v>
      </c>
      <c r="E589">
        <v>1350</v>
      </c>
      <c r="F589">
        <v>0.62</v>
      </c>
      <c r="G589">
        <v>4.3</v>
      </c>
      <c r="H589">
        <v>30058</v>
      </c>
    </row>
    <row r="590" spans="1:8" x14ac:dyDescent="0.25">
      <c r="A590" s="1" t="s">
        <v>1169</v>
      </c>
      <c r="B590" s="1" t="s">
        <v>1170</v>
      </c>
      <c r="C590" s="1" t="s">
        <v>2697</v>
      </c>
      <c r="D590" s="1" t="s">
        <v>2720</v>
      </c>
      <c r="E590">
        <v>3990</v>
      </c>
      <c r="F590">
        <v>0.62</v>
      </c>
      <c r="G590">
        <v>4.0999999999999996</v>
      </c>
      <c r="H590">
        <v>109864</v>
      </c>
    </row>
    <row r="591" spans="1:8" x14ac:dyDescent="0.25">
      <c r="A591" s="1" t="s">
        <v>1171</v>
      </c>
      <c r="B591" s="1" t="s">
        <v>1172</v>
      </c>
      <c r="C591" s="1" t="s">
        <v>2748</v>
      </c>
      <c r="D591" s="1" t="s">
        <v>2756</v>
      </c>
      <c r="E591">
        <v>1295</v>
      </c>
      <c r="F591">
        <v>0</v>
      </c>
      <c r="G591">
        <v>4.5</v>
      </c>
      <c r="H591">
        <v>5760</v>
      </c>
    </row>
    <row r="592" spans="1:8" x14ac:dyDescent="0.25">
      <c r="A592" s="1" t="s">
        <v>1173</v>
      </c>
      <c r="B592" s="1" t="s">
        <v>1174</v>
      </c>
      <c r="C592" s="1" t="s">
        <v>2694</v>
      </c>
      <c r="D592" s="1" t="s">
        <v>2757</v>
      </c>
      <c r="E592">
        <v>5499</v>
      </c>
      <c r="F592">
        <v>0.66</v>
      </c>
      <c r="G592">
        <v>4.2</v>
      </c>
      <c r="H592">
        <v>49551</v>
      </c>
    </row>
    <row r="593" spans="1:8" x14ac:dyDescent="0.25">
      <c r="A593" s="1" t="s">
        <v>1175</v>
      </c>
      <c r="B593" s="1" t="s">
        <v>1176</v>
      </c>
      <c r="C593" s="1" t="s">
        <v>2697</v>
      </c>
      <c r="D593" s="1" t="s">
        <v>2720</v>
      </c>
      <c r="E593">
        <v>1490</v>
      </c>
      <c r="F593">
        <v>0.69</v>
      </c>
      <c r="G593">
        <v>4.0999999999999996</v>
      </c>
      <c r="H593">
        <v>161677</v>
      </c>
    </row>
    <row r="594" spans="1:8" x14ac:dyDescent="0.25">
      <c r="A594" s="1" t="s">
        <v>1177</v>
      </c>
      <c r="B594" s="1" t="s">
        <v>1178</v>
      </c>
      <c r="C594" s="1" t="s">
        <v>2697</v>
      </c>
      <c r="D594" s="1" t="s">
        <v>2758</v>
      </c>
      <c r="E594">
        <v>995</v>
      </c>
      <c r="F594">
        <v>0.6</v>
      </c>
      <c r="G594">
        <v>3.9</v>
      </c>
      <c r="H594">
        <v>21372</v>
      </c>
    </row>
    <row r="595" spans="1:8" x14ac:dyDescent="0.25">
      <c r="A595" s="1" t="s">
        <v>1179</v>
      </c>
      <c r="B595" s="1" t="s">
        <v>1180</v>
      </c>
      <c r="C595" s="1" t="s">
        <v>2694</v>
      </c>
      <c r="D595" s="1" t="s">
        <v>2759</v>
      </c>
      <c r="E595">
        <v>761</v>
      </c>
      <c r="F595">
        <v>0.06</v>
      </c>
      <c r="G595">
        <v>4</v>
      </c>
      <c r="H595">
        <v>7199</v>
      </c>
    </row>
    <row r="596" spans="1:8" x14ac:dyDescent="0.25">
      <c r="A596" s="1" t="s">
        <v>1181</v>
      </c>
      <c r="B596" s="1" t="s">
        <v>1182</v>
      </c>
      <c r="C596" s="1" t="s">
        <v>2694</v>
      </c>
      <c r="D596" s="1" t="s">
        <v>2760</v>
      </c>
      <c r="E596">
        <v>299</v>
      </c>
      <c r="F596">
        <v>0.87</v>
      </c>
      <c r="G596">
        <v>3.5</v>
      </c>
      <c r="H596">
        <v>15233</v>
      </c>
    </row>
    <row r="597" spans="1:8" x14ac:dyDescent="0.25">
      <c r="A597" s="1" t="s">
        <v>1183</v>
      </c>
      <c r="B597" s="1" t="s">
        <v>1184</v>
      </c>
      <c r="C597" s="1" t="s">
        <v>2694</v>
      </c>
      <c r="D597" s="1" t="s">
        <v>2739</v>
      </c>
      <c r="E597">
        <v>2500</v>
      </c>
      <c r="F597">
        <v>0.64</v>
      </c>
      <c r="G597">
        <v>4.3</v>
      </c>
      <c r="H597">
        <v>55747</v>
      </c>
    </row>
    <row r="598" spans="1:8" x14ac:dyDescent="0.25">
      <c r="A598" s="1" t="s">
        <v>1185</v>
      </c>
      <c r="B598" s="1" t="s">
        <v>1186</v>
      </c>
      <c r="C598" s="1" t="s">
        <v>2697</v>
      </c>
      <c r="D598" s="1" t="s">
        <v>2720</v>
      </c>
      <c r="E598">
        <v>4999</v>
      </c>
      <c r="F598">
        <v>0.76</v>
      </c>
      <c r="G598">
        <v>3.8</v>
      </c>
      <c r="H598">
        <v>14961</v>
      </c>
    </row>
    <row r="599" spans="1:8" x14ac:dyDescent="0.25">
      <c r="A599" s="1" t="s">
        <v>1187</v>
      </c>
      <c r="B599" s="1" t="s">
        <v>1188</v>
      </c>
      <c r="C599" s="1" t="s">
        <v>2694</v>
      </c>
      <c r="D599" s="1" t="s">
        <v>2740</v>
      </c>
      <c r="E599">
        <v>1299</v>
      </c>
      <c r="F599">
        <v>0.56000000000000005</v>
      </c>
      <c r="G599">
        <v>4.4000000000000004</v>
      </c>
      <c r="H599">
        <v>9275</v>
      </c>
    </row>
    <row r="600" spans="1:8" x14ac:dyDescent="0.25">
      <c r="A600" s="1" t="s">
        <v>1189</v>
      </c>
      <c r="B600" s="1" t="s">
        <v>1190</v>
      </c>
      <c r="C600" s="1" t="s">
        <v>2697</v>
      </c>
      <c r="D600" s="1" t="s">
        <v>2720</v>
      </c>
      <c r="E600">
        <v>8999</v>
      </c>
      <c r="F600">
        <v>0.83</v>
      </c>
      <c r="G600">
        <v>3.7</v>
      </c>
      <c r="H600">
        <v>28324</v>
      </c>
    </row>
    <row r="601" spans="1:8" x14ac:dyDescent="0.25">
      <c r="A601" s="1" t="s">
        <v>1191</v>
      </c>
      <c r="B601" s="1" t="s">
        <v>1192</v>
      </c>
      <c r="C601" s="1" t="s">
        <v>2697</v>
      </c>
      <c r="D601" s="1" t="s">
        <v>2747</v>
      </c>
      <c r="E601">
        <v>180</v>
      </c>
      <c r="F601">
        <v>0.17</v>
      </c>
      <c r="G601">
        <v>4.4000000000000004</v>
      </c>
      <c r="H601">
        <v>644</v>
      </c>
    </row>
    <row r="602" spans="1:8" x14ac:dyDescent="0.25">
      <c r="A602" s="1" t="s">
        <v>1193</v>
      </c>
      <c r="B602" s="1" t="s">
        <v>1194</v>
      </c>
      <c r="C602" s="1" t="s">
        <v>2694</v>
      </c>
      <c r="D602" s="1" t="s">
        <v>2761</v>
      </c>
      <c r="E602">
        <v>549</v>
      </c>
      <c r="F602">
        <v>0.27</v>
      </c>
      <c r="G602">
        <v>4.4000000000000004</v>
      </c>
      <c r="H602">
        <v>18139</v>
      </c>
    </row>
    <row r="603" spans="1:8" x14ac:dyDescent="0.25">
      <c r="A603" s="1" t="s">
        <v>1195</v>
      </c>
      <c r="B603" s="1" t="s">
        <v>1196</v>
      </c>
      <c r="C603" s="1" t="s">
        <v>2750</v>
      </c>
      <c r="D603" s="1" t="s">
        <v>2762</v>
      </c>
      <c r="E603">
        <v>225</v>
      </c>
      <c r="F603">
        <v>0.15</v>
      </c>
      <c r="G603">
        <v>4.4000000000000004</v>
      </c>
      <c r="H603">
        <v>7203</v>
      </c>
    </row>
    <row r="604" spans="1:8" x14ac:dyDescent="0.25">
      <c r="A604" s="1" t="s">
        <v>1197</v>
      </c>
      <c r="B604" s="1" t="s">
        <v>1198</v>
      </c>
      <c r="C604" s="1" t="s">
        <v>2694</v>
      </c>
      <c r="D604" s="1" t="s">
        <v>2763</v>
      </c>
      <c r="E604">
        <v>999</v>
      </c>
      <c r="F604">
        <v>0.87</v>
      </c>
      <c r="G604">
        <v>4.2</v>
      </c>
      <c r="H604">
        <v>491</v>
      </c>
    </row>
    <row r="605" spans="1:8" x14ac:dyDescent="0.25">
      <c r="A605" s="1" t="s">
        <v>1199</v>
      </c>
      <c r="B605" s="1" t="s">
        <v>1200</v>
      </c>
      <c r="C605" s="1" t="s">
        <v>2694</v>
      </c>
      <c r="D605" s="1" t="s">
        <v>2764</v>
      </c>
      <c r="E605">
        <v>599</v>
      </c>
      <c r="F605">
        <v>0.67</v>
      </c>
      <c r="G605">
        <v>4.5</v>
      </c>
      <c r="H605">
        <v>13568</v>
      </c>
    </row>
    <row r="606" spans="1:8" x14ac:dyDescent="0.25">
      <c r="A606" s="1" t="s">
        <v>1201</v>
      </c>
      <c r="B606" s="1" t="s">
        <v>1202</v>
      </c>
      <c r="C606" s="1" t="s">
        <v>2697</v>
      </c>
      <c r="D606" s="1" t="s">
        <v>2720</v>
      </c>
      <c r="E606">
        <v>4499</v>
      </c>
      <c r="F606">
        <v>0.78</v>
      </c>
      <c r="G606">
        <v>3.8</v>
      </c>
      <c r="H606">
        <v>3390</v>
      </c>
    </row>
    <row r="607" spans="1:8" x14ac:dyDescent="0.25">
      <c r="A607" s="1" t="s">
        <v>1203</v>
      </c>
      <c r="B607" s="1" t="s">
        <v>1204</v>
      </c>
      <c r="C607" s="1" t="s">
        <v>2697</v>
      </c>
      <c r="D607" s="1" t="s">
        <v>2720</v>
      </c>
      <c r="E607">
        <v>4499</v>
      </c>
      <c r="F607">
        <v>0.8</v>
      </c>
      <c r="G607">
        <v>3.8</v>
      </c>
      <c r="H607">
        <v>103052</v>
      </c>
    </row>
    <row r="608" spans="1:8" x14ac:dyDescent="0.25">
      <c r="A608" s="1" t="s">
        <v>1205</v>
      </c>
      <c r="B608" s="1" t="s">
        <v>1206</v>
      </c>
      <c r="C608" s="1" t="s">
        <v>2748</v>
      </c>
      <c r="D608" s="1" t="s">
        <v>2756</v>
      </c>
      <c r="E608">
        <v>550</v>
      </c>
      <c r="F608">
        <v>0.05</v>
      </c>
      <c r="G608">
        <v>4.4000000000000004</v>
      </c>
      <c r="H608">
        <v>12179</v>
      </c>
    </row>
    <row r="609" spans="1:8" x14ac:dyDescent="0.25">
      <c r="A609" s="1" t="s">
        <v>1207</v>
      </c>
      <c r="B609" s="1" t="s">
        <v>1208</v>
      </c>
      <c r="C609" s="1" t="s">
        <v>2697</v>
      </c>
      <c r="D609" s="1" t="s">
        <v>2765</v>
      </c>
      <c r="E609">
        <v>1999</v>
      </c>
      <c r="F609">
        <v>0.6</v>
      </c>
      <c r="G609">
        <v>3.8</v>
      </c>
      <c r="H609">
        <v>12958</v>
      </c>
    </row>
    <row r="610" spans="1:8" x14ac:dyDescent="0.25">
      <c r="A610" s="1" t="s">
        <v>1209</v>
      </c>
      <c r="B610" s="1" t="s">
        <v>1210</v>
      </c>
      <c r="C610" s="1" t="s">
        <v>2694</v>
      </c>
      <c r="D610" s="1" t="s">
        <v>2740</v>
      </c>
      <c r="E610">
        <v>1199</v>
      </c>
      <c r="F610">
        <v>0.43</v>
      </c>
      <c r="G610">
        <v>4.2</v>
      </c>
      <c r="H610">
        <v>8258</v>
      </c>
    </row>
    <row r="611" spans="1:8" x14ac:dyDescent="0.25">
      <c r="A611" s="1" t="s">
        <v>1211</v>
      </c>
      <c r="B611" s="1" t="s">
        <v>1212</v>
      </c>
      <c r="C611" s="1" t="s">
        <v>2694</v>
      </c>
      <c r="D611" s="1"/>
      <c r="E611">
        <v>3490</v>
      </c>
      <c r="F611">
        <v>0.66</v>
      </c>
      <c r="G611">
        <v>4.0999999999999996</v>
      </c>
      <c r="H611">
        <v>11716</v>
      </c>
    </row>
    <row r="612" spans="1:8" x14ac:dyDescent="0.25">
      <c r="A612" s="1" t="s">
        <v>1213</v>
      </c>
      <c r="B612" s="1" t="s">
        <v>1214</v>
      </c>
      <c r="C612" s="1" t="s">
        <v>2694</v>
      </c>
      <c r="D612" s="1" t="s">
        <v>2766</v>
      </c>
      <c r="E612">
        <v>4999</v>
      </c>
      <c r="F612">
        <v>0.5</v>
      </c>
      <c r="G612">
        <v>4.4000000000000004</v>
      </c>
      <c r="H612">
        <v>35024</v>
      </c>
    </row>
    <row r="613" spans="1:8" x14ac:dyDescent="0.25">
      <c r="A613" s="1" t="s">
        <v>1215</v>
      </c>
      <c r="B613" s="1" t="s">
        <v>1216</v>
      </c>
      <c r="C613" s="1" t="s">
        <v>2697</v>
      </c>
      <c r="D613" s="1" t="s">
        <v>2767</v>
      </c>
      <c r="E613">
        <v>4999</v>
      </c>
      <c r="F613">
        <v>0.64</v>
      </c>
      <c r="G613">
        <v>4.0999999999999996</v>
      </c>
      <c r="H613">
        <v>55192</v>
      </c>
    </row>
    <row r="614" spans="1:8" x14ac:dyDescent="0.25">
      <c r="A614" s="1" t="s">
        <v>1217</v>
      </c>
      <c r="B614" s="1" t="s">
        <v>1218</v>
      </c>
      <c r="C614" s="1" t="s">
        <v>2697</v>
      </c>
      <c r="D614" s="1" t="s">
        <v>2720</v>
      </c>
      <c r="E614">
        <v>599</v>
      </c>
      <c r="F614">
        <v>0.28000000000000003</v>
      </c>
      <c r="G614">
        <v>4.0999999999999996</v>
      </c>
      <c r="H614">
        <v>119466</v>
      </c>
    </row>
    <row r="615" spans="1:8" x14ac:dyDescent="0.25">
      <c r="A615" s="1" t="s">
        <v>1219</v>
      </c>
      <c r="B615" s="1" t="s">
        <v>1220</v>
      </c>
      <c r="C615" s="1" t="s">
        <v>2694</v>
      </c>
      <c r="D615" s="1" t="s">
        <v>2741</v>
      </c>
      <c r="E615">
        <v>499</v>
      </c>
      <c r="F615">
        <v>0.8</v>
      </c>
      <c r="G615">
        <v>3.5</v>
      </c>
      <c r="H615">
        <v>9638</v>
      </c>
    </row>
    <row r="616" spans="1:8" x14ac:dyDescent="0.25">
      <c r="A616" s="1" t="s">
        <v>1221</v>
      </c>
      <c r="B616" s="1" t="s">
        <v>1222</v>
      </c>
      <c r="C616" s="1" t="s">
        <v>2694</v>
      </c>
      <c r="D616" s="1" t="s">
        <v>2744</v>
      </c>
      <c r="E616">
        <v>399</v>
      </c>
      <c r="F616">
        <v>0.18</v>
      </c>
      <c r="G616">
        <v>3.6</v>
      </c>
      <c r="H616">
        <v>33735</v>
      </c>
    </row>
    <row r="617" spans="1:8" x14ac:dyDescent="0.25">
      <c r="A617" s="1" t="s">
        <v>1223</v>
      </c>
      <c r="B617" s="1" t="s">
        <v>1224</v>
      </c>
      <c r="C617" s="1" t="s">
        <v>2694</v>
      </c>
      <c r="D617" s="1" t="s">
        <v>2740</v>
      </c>
      <c r="E617">
        <v>299</v>
      </c>
      <c r="F617">
        <v>0.54</v>
      </c>
      <c r="G617">
        <v>3.8</v>
      </c>
      <c r="H617">
        <v>3044</v>
      </c>
    </row>
    <row r="618" spans="1:8" x14ac:dyDescent="0.25">
      <c r="A618" s="1" t="s">
        <v>1225</v>
      </c>
      <c r="B618" s="1" t="s">
        <v>1226</v>
      </c>
      <c r="C618" s="1" t="s">
        <v>2697</v>
      </c>
      <c r="D618" s="1" t="s">
        <v>2735</v>
      </c>
      <c r="E618">
        <v>2499</v>
      </c>
      <c r="F618">
        <v>0.52</v>
      </c>
      <c r="G618">
        <v>4</v>
      </c>
      <c r="H618">
        <v>33584</v>
      </c>
    </row>
    <row r="619" spans="1:8" x14ac:dyDescent="0.25">
      <c r="A619" s="1" t="s">
        <v>1227</v>
      </c>
      <c r="B619" s="1" t="s">
        <v>1228</v>
      </c>
      <c r="C619" s="1" t="s">
        <v>2697</v>
      </c>
      <c r="D619" s="1" t="s">
        <v>2768</v>
      </c>
      <c r="E619">
        <v>2299</v>
      </c>
      <c r="F619">
        <v>0.54</v>
      </c>
      <c r="G619">
        <v>3.9</v>
      </c>
      <c r="H619">
        <v>1779</v>
      </c>
    </row>
    <row r="620" spans="1:8" x14ac:dyDescent="0.25">
      <c r="A620" s="1" t="s">
        <v>1229</v>
      </c>
      <c r="B620" s="1" t="s">
        <v>1230</v>
      </c>
      <c r="C620" s="1" t="s">
        <v>2697</v>
      </c>
      <c r="D620" s="1"/>
      <c r="E620">
        <v>250</v>
      </c>
      <c r="F620">
        <v>0.1</v>
      </c>
      <c r="G620">
        <v>4.4000000000000004</v>
      </c>
      <c r="H620">
        <v>26556</v>
      </c>
    </row>
    <row r="621" spans="1:8" x14ac:dyDescent="0.25">
      <c r="A621" s="1" t="s">
        <v>1231</v>
      </c>
      <c r="B621" s="1" t="s">
        <v>1232</v>
      </c>
      <c r="C621" s="1" t="s">
        <v>2694</v>
      </c>
      <c r="D621" s="1" t="s">
        <v>2742</v>
      </c>
      <c r="E621">
        <v>1499</v>
      </c>
      <c r="F621">
        <v>0.56000000000000005</v>
      </c>
      <c r="G621">
        <v>4.3</v>
      </c>
      <c r="H621">
        <v>25903</v>
      </c>
    </row>
    <row r="622" spans="1:8" x14ac:dyDescent="0.25">
      <c r="A622" s="1" t="s">
        <v>1233</v>
      </c>
      <c r="B622" s="1" t="s">
        <v>1234</v>
      </c>
      <c r="C622" s="1" t="s">
        <v>2694</v>
      </c>
      <c r="D622" s="1" t="s">
        <v>2739</v>
      </c>
      <c r="E622">
        <v>2800</v>
      </c>
      <c r="F622">
        <v>0.6</v>
      </c>
      <c r="G622">
        <v>4.3</v>
      </c>
      <c r="H622">
        <v>53464</v>
      </c>
    </row>
    <row r="623" spans="1:8" x14ac:dyDescent="0.25">
      <c r="A623" s="1" t="s">
        <v>1235</v>
      </c>
      <c r="B623" s="1" t="s">
        <v>1236</v>
      </c>
      <c r="C623" s="1" t="s">
        <v>2694</v>
      </c>
      <c r="D623" s="1" t="s">
        <v>2763</v>
      </c>
      <c r="E623">
        <v>299</v>
      </c>
      <c r="F623">
        <v>0.43</v>
      </c>
      <c r="G623">
        <v>4.4000000000000004</v>
      </c>
      <c r="H623">
        <v>5176</v>
      </c>
    </row>
    <row r="624" spans="1:8" x14ac:dyDescent="0.25">
      <c r="A624" s="1" t="s">
        <v>1237</v>
      </c>
      <c r="B624" s="1" t="s">
        <v>1238</v>
      </c>
      <c r="C624" s="1" t="s">
        <v>2694</v>
      </c>
      <c r="D624" s="1" t="s">
        <v>2759</v>
      </c>
      <c r="E624">
        <v>404</v>
      </c>
      <c r="F624">
        <v>0.24</v>
      </c>
      <c r="G624">
        <v>4.4000000000000004</v>
      </c>
      <c r="H624">
        <v>8614</v>
      </c>
    </row>
    <row r="625" spans="1:8" x14ac:dyDescent="0.25">
      <c r="A625" s="1" t="s">
        <v>1239</v>
      </c>
      <c r="B625" s="1" t="s">
        <v>1240</v>
      </c>
      <c r="C625" s="1" t="s">
        <v>2697</v>
      </c>
      <c r="D625" s="1" t="s">
        <v>2735</v>
      </c>
      <c r="E625">
        <v>1399</v>
      </c>
      <c r="F625">
        <v>0.56999999999999995</v>
      </c>
      <c r="G625">
        <v>3.8</v>
      </c>
      <c r="H625">
        <v>60026</v>
      </c>
    </row>
    <row r="626" spans="1:8" x14ac:dyDescent="0.25">
      <c r="A626" s="1" t="s">
        <v>1241</v>
      </c>
      <c r="B626" s="1" t="s">
        <v>1242</v>
      </c>
      <c r="C626" s="1" t="s">
        <v>2694</v>
      </c>
      <c r="D626" s="1" t="s">
        <v>2744</v>
      </c>
      <c r="E626">
        <v>599</v>
      </c>
      <c r="F626">
        <v>0.5</v>
      </c>
      <c r="G626">
        <v>3.8</v>
      </c>
      <c r="H626">
        <v>3066</v>
      </c>
    </row>
    <row r="627" spans="1:8" x14ac:dyDescent="0.25">
      <c r="A627" s="1" t="s">
        <v>1243</v>
      </c>
      <c r="B627" s="1" t="s">
        <v>1244</v>
      </c>
      <c r="C627" s="1" t="s">
        <v>2694</v>
      </c>
      <c r="D627" s="1" t="s">
        <v>2742</v>
      </c>
      <c r="E627">
        <v>999</v>
      </c>
      <c r="F627">
        <v>0.55000000000000004</v>
      </c>
      <c r="G627">
        <v>4</v>
      </c>
      <c r="H627">
        <v>2102</v>
      </c>
    </row>
    <row r="628" spans="1:8" x14ac:dyDescent="0.25">
      <c r="A628" s="1" t="s">
        <v>1245</v>
      </c>
      <c r="B628" s="1" t="s">
        <v>1246</v>
      </c>
      <c r="C628" s="1" t="s">
        <v>2694</v>
      </c>
      <c r="D628" s="1" t="s">
        <v>2740</v>
      </c>
      <c r="E628">
        <v>1295</v>
      </c>
      <c r="F628">
        <v>0.38</v>
      </c>
      <c r="G628">
        <v>4.4000000000000004</v>
      </c>
      <c r="H628">
        <v>34852</v>
      </c>
    </row>
    <row r="629" spans="1:8" x14ac:dyDescent="0.25">
      <c r="A629" s="1" t="s">
        <v>1247</v>
      </c>
      <c r="B629" s="1" t="s">
        <v>1248</v>
      </c>
      <c r="C629" s="1" t="s">
        <v>2748</v>
      </c>
      <c r="D629" s="1" t="s">
        <v>2769</v>
      </c>
      <c r="E629">
        <v>160</v>
      </c>
      <c r="F629">
        <v>0.02</v>
      </c>
      <c r="G629">
        <v>4.5</v>
      </c>
      <c r="H629">
        <v>8618</v>
      </c>
    </row>
    <row r="630" spans="1:8" x14ac:dyDescent="0.25">
      <c r="A630" s="1" t="s">
        <v>1249</v>
      </c>
      <c r="B630" s="1" t="s">
        <v>1250</v>
      </c>
      <c r="C630" s="1" t="s">
        <v>2694</v>
      </c>
      <c r="D630" s="1" t="s">
        <v>2740</v>
      </c>
      <c r="E630">
        <v>899</v>
      </c>
      <c r="F630">
        <v>0.33</v>
      </c>
      <c r="G630">
        <v>4</v>
      </c>
      <c r="H630">
        <v>4018</v>
      </c>
    </row>
    <row r="631" spans="1:8" x14ac:dyDescent="0.25">
      <c r="A631" s="1" t="s">
        <v>1251</v>
      </c>
      <c r="B631" s="1" t="s">
        <v>1252</v>
      </c>
      <c r="C631" s="1" t="s">
        <v>2697</v>
      </c>
      <c r="D631" s="1" t="s">
        <v>2770</v>
      </c>
      <c r="E631">
        <v>599</v>
      </c>
      <c r="F631">
        <v>0.2</v>
      </c>
      <c r="G631">
        <v>4.3</v>
      </c>
      <c r="H631">
        <v>11687</v>
      </c>
    </row>
    <row r="632" spans="1:8" x14ac:dyDescent="0.25">
      <c r="A632" s="1" t="s">
        <v>1253</v>
      </c>
      <c r="B632" s="1" t="s">
        <v>1254</v>
      </c>
      <c r="C632" s="1" t="s">
        <v>2697</v>
      </c>
      <c r="D632" s="1" t="s">
        <v>2720</v>
      </c>
      <c r="E632">
        <v>2990</v>
      </c>
      <c r="F632">
        <v>0.47</v>
      </c>
      <c r="G632">
        <v>3.8</v>
      </c>
      <c r="H632">
        <v>11015</v>
      </c>
    </row>
    <row r="633" spans="1:8" x14ac:dyDescent="0.25">
      <c r="A633" s="1" t="s">
        <v>1255</v>
      </c>
      <c r="B633" s="1" t="s">
        <v>1256</v>
      </c>
      <c r="C633" s="1" t="s">
        <v>2694</v>
      </c>
      <c r="D633" s="1" t="s">
        <v>2771</v>
      </c>
      <c r="E633">
        <v>899</v>
      </c>
      <c r="F633">
        <v>0.33</v>
      </c>
      <c r="G633">
        <v>4.3</v>
      </c>
      <c r="H633">
        <v>95116</v>
      </c>
    </row>
    <row r="634" spans="1:8" x14ac:dyDescent="0.25">
      <c r="A634" s="1" t="s">
        <v>1257</v>
      </c>
      <c r="B634" s="1" t="s">
        <v>1258</v>
      </c>
      <c r="C634" s="1" t="s">
        <v>2694</v>
      </c>
      <c r="D634" s="1" t="s">
        <v>2739</v>
      </c>
      <c r="E634">
        <v>3000</v>
      </c>
      <c r="F634">
        <v>0.56999999999999995</v>
      </c>
      <c r="G634">
        <v>4.3</v>
      </c>
      <c r="H634">
        <v>23022</v>
      </c>
    </row>
    <row r="635" spans="1:8" x14ac:dyDescent="0.25">
      <c r="A635" s="1" t="s">
        <v>1259</v>
      </c>
      <c r="B635" s="1" t="s">
        <v>1260</v>
      </c>
      <c r="C635" s="1" t="s">
        <v>2694</v>
      </c>
      <c r="D635" s="1" t="s">
        <v>2772</v>
      </c>
      <c r="E635">
        <v>4999</v>
      </c>
      <c r="F635">
        <v>0.94</v>
      </c>
      <c r="G635">
        <v>4.3</v>
      </c>
      <c r="H635">
        <v>4426</v>
      </c>
    </row>
    <row r="636" spans="1:8" x14ac:dyDescent="0.25">
      <c r="A636" s="1" t="s">
        <v>1261</v>
      </c>
      <c r="B636" s="1" t="s">
        <v>1262</v>
      </c>
      <c r="C636" s="1" t="s">
        <v>2694</v>
      </c>
      <c r="D636" s="1" t="s">
        <v>2759</v>
      </c>
      <c r="E636">
        <v>861</v>
      </c>
      <c r="F636">
        <v>0.04</v>
      </c>
      <c r="G636">
        <v>4.2</v>
      </c>
      <c r="H636">
        <v>4567</v>
      </c>
    </row>
    <row r="637" spans="1:8" x14ac:dyDescent="0.25">
      <c r="A637" s="1" t="s">
        <v>1263</v>
      </c>
      <c r="B637" s="1" t="s">
        <v>1264</v>
      </c>
      <c r="C637" s="1" t="s">
        <v>2697</v>
      </c>
      <c r="D637" s="1" t="s">
        <v>2735</v>
      </c>
      <c r="E637">
        <v>795</v>
      </c>
      <c r="F637">
        <v>0.06</v>
      </c>
      <c r="G637">
        <v>4</v>
      </c>
      <c r="H637">
        <v>13797</v>
      </c>
    </row>
    <row r="638" spans="1:8" x14ac:dyDescent="0.25">
      <c r="A638" s="1" t="s">
        <v>1265</v>
      </c>
      <c r="B638" s="1" t="s">
        <v>1266</v>
      </c>
      <c r="C638" s="1" t="s">
        <v>2697</v>
      </c>
      <c r="D638" s="1" t="s">
        <v>2773</v>
      </c>
      <c r="E638">
        <v>2495</v>
      </c>
      <c r="F638">
        <v>0.38</v>
      </c>
      <c r="G638">
        <v>4.4000000000000004</v>
      </c>
      <c r="H638">
        <v>15137</v>
      </c>
    </row>
    <row r="639" spans="1:8" x14ac:dyDescent="0.25">
      <c r="A639" s="1" t="s">
        <v>1267</v>
      </c>
      <c r="B639" s="1" t="s">
        <v>1268</v>
      </c>
      <c r="C639" s="1" t="s">
        <v>2694</v>
      </c>
      <c r="D639" s="1" t="s">
        <v>2757</v>
      </c>
      <c r="E639">
        <v>2499</v>
      </c>
      <c r="F639">
        <v>0.41</v>
      </c>
      <c r="G639">
        <v>4.2</v>
      </c>
      <c r="H639">
        <v>156638</v>
      </c>
    </row>
    <row r="640" spans="1:8" x14ac:dyDescent="0.25">
      <c r="A640" s="1" t="s">
        <v>1269</v>
      </c>
      <c r="B640" s="1" t="s">
        <v>1270</v>
      </c>
      <c r="C640" s="1" t="s">
        <v>2748</v>
      </c>
      <c r="D640" s="1" t="s">
        <v>2774</v>
      </c>
      <c r="E640">
        <v>800</v>
      </c>
      <c r="F640">
        <v>0.75</v>
      </c>
      <c r="G640">
        <v>4.0999999999999996</v>
      </c>
      <c r="H640">
        <v>9344</v>
      </c>
    </row>
    <row r="641" spans="1:8" x14ac:dyDescent="0.25">
      <c r="A641" s="1" t="s">
        <v>1271</v>
      </c>
      <c r="B641" s="1" t="s">
        <v>1272</v>
      </c>
      <c r="C641" s="1" t="s">
        <v>2697</v>
      </c>
      <c r="D641" s="1" t="s">
        <v>2775</v>
      </c>
      <c r="E641">
        <v>549</v>
      </c>
      <c r="F641">
        <v>0</v>
      </c>
      <c r="G641">
        <v>4.5</v>
      </c>
      <c r="H641">
        <v>4875</v>
      </c>
    </row>
    <row r="642" spans="1:8" x14ac:dyDescent="0.25">
      <c r="A642" s="1" t="s">
        <v>1273</v>
      </c>
      <c r="B642" s="1" t="s">
        <v>1274</v>
      </c>
      <c r="C642" s="1" t="s">
        <v>2697</v>
      </c>
      <c r="D642" s="1" t="s">
        <v>2715</v>
      </c>
      <c r="E642">
        <v>29999</v>
      </c>
      <c r="F642">
        <v>0.6</v>
      </c>
      <c r="G642">
        <v>4.3</v>
      </c>
      <c r="H642">
        <v>4744</v>
      </c>
    </row>
    <row r="643" spans="1:8" x14ac:dyDescent="0.25">
      <c r="A643" s="1" t="s">
        <v>1275</v>
      </c>
      <c r="B643" s="1" t="s">
        <v>1276</v>
      </c>
      <c r="C643" s="1" t="s">
        <v>2697</v>
      </c>
      <c r="D643" s="1" t="s">
        <v>2720</v>
      </c>
      <c r="E643">
        <v>3499</v>
      </c>
      <c r="F643">
        <v>0.63</v>
      </c>
      <c r="G643">
        <v>3.9</v>
      </c>
      <c r="H643">
        <v>12452</v>
      </c>
    </row>
    <row r="644" spans="1:8" x14ac:dyDescent="0.25">
      <c r="A644" s="1" t="s">
        <v>1277</v>
      </c>
      <c r="B644" s="1" t="s">
        <v>1278</v>
      </c>
      <c r="C644" s="1" t="s">
        <v>2697</v>
      </c>
      <c r="D644" s="1" t="s">
        <v>2747</v>
      </c>
      <c r="E644">
        <v>315</v>
      </c>
      <c r="F644">
        <v>0.15</v>
      </c>
      <c r="G644">
        <v>4.5</v>
      </c>
      <c r="H644">
        <v>17810</v>
      </c>
    </row>
    <row r="645" spans="1:8" x14ac:dyDescent="0.25">
      <c r="A645" s="1" t="s">
        <v>1279</v>
      </c>
      <c r="B645" s="1" t="s">
        <v>1280</v>
      </c>
      <c r="C645" s="1" t="s">
        <v>2697</v>
      </c>
      <c r="D645" s="1" t="s">
        <v>2720</v>
      </c>
      <c r="E645">
        <v>1499</v>
      </c>
      <c r="F645">
        <v>0.47</v>
      </c>
      <c r="G645">
        <v>4.0999999999999996</v>
      </c>
      <c r="H645">
        <v>53648</v>
      </c>
    </row>
    <row r="646" spans="1:8" x14ac:dyDescent="0.25">
      <c r="A646" s="1" t="s">
        <v>1281</v>
      </c>
      <c r="B646" s="1" t="s">
        <v>1282</v>
      </c>
      <c r="C646" s="1" t="s">
        <v>2694</v>
      </c>
      <c r="D646" s="1"/>
      <c r="E646">
        <v>13750</v>
      </c>
      <c r="F646">
        <v>0.54</v>
      </c>
      <c r="G646">
        <v>4.2</v>
      </c>
      <c r="H646">
        <v>2014</v>
      </c>
    </row>
    <row r="647" spans="1:8" x14ac:dyDescent="0.25">
      <c r="A647" s="1" t="s">
        <v>1283</v>
      </c>
      <c r="B647" s="1" t="s">
        <v>1284</v>
      </c>
      <c r="C647" s="1" t="s">
        <v>2694</v>
      </c>
      <c r="D647" s="1" t="s">
        <v>2776</v>
      </c>
      <c r="E647">
        <v>59</v>
      </c>
      <c r="F647">
        <v>0</v>
      </c>
      <c r="G647">
        <v>3.8</v>
      </c>
      <c r="H647">
        <v>5958</v>
      </c>
    </row>
    <row r="648" spans="1:8" x14ac:dyDescent="0.25">
      <c r="A648" s="1" t="s">
        <v>1285</v>
      </c>
      <c r="B648" s="1" t="s">
        <v>1286</v>
      </c>
      <c r="C648" s="1" t="s">
        <v>2697</v>
      </c>
      <c r="D648" s="1" t="s">
        <v>2721</v>
      </c>
      <c r="E648">
        <v>999</v>
      </c>
      <c r="F648">
        <v>0.43</v>
      </c>
      <c r="G648">
        <v>4.3</v>
      </c>
      <c r="H648">
        <v>38221</v>
      </c>
    </row>
    <row r="649" spans="1:8" x14ac:dyDescent="0.25">
      <c r="A649" s="1" t="s">
        <v>1287</v>
      </c>
      <c r="B649" s="1" t="s">
        <v>1288</v>
      </c>
      <c r="C649" s="1" t="s">
        <v>2697</v>
      </c>
      <c r="D649" s="1" t="s">
        <v>2768</v>
      </c>
      <c r="E649">
        <v>999</v>
      </c>
      <c r="F649">
        <v>0.45</v>
      </c>
      <c r="G649">
        <v>3.9</v>
      </c>
      <c r="H649">
        <v>64705</v>
      </c>
    </row>
    <row r="650" spans="1:8" x14ac:dyDescent="0.25">
      <c r="A650" s="1" t="s">
        <v>1289</v>
      </c>
      <c r="B650" s="1" t="s">
        <v>1290</v>
      </c>
      <c r="C650" s="1" t="s">
        <v>2694</v>
      </c>
      <c r="D650" s="1" t="s">
        <v>2752</v>
      </c>
      <c r="E650">
        <v>699</v>
      </c>
      <c r="F650">
        <v>0.36</v>
      </c>
      <c r="G650">
        <v>3.9</v>
      </c>
      <c r="H650">
        <v>17348</v>
      </c>
    </row>
    <row r="651" spans="1:8" x14ac:dyDescent="0.25">
      <c r="A651" s="1" t="s">
        <v>1291</v>
      </c>
      <c r="B651" s="1" t="s">
        <v>1292</v>
      </c>
      <c r="C651" s="1" t="s">
        <v>2697</v>
      </c>
      <c r="D651" s="1" t="s">
        <v>2720</v>
      </c>
      <c r="E651">
        <v>2999</v>
      </c>
      <c r="F651">
        <v>0.5</v>
      </c>
      <c r="G651">
        <v>3.7</v>
      </c>
      <c r="H651">
        <v>87798</v>
      </c>
    </row>
    <row r="652" spans="1:8" x14ac:dyDescent="0.25">
      <c r="A652" s="1" t="s">
        <v>1293</v>
      </c>
      <c r="B652" s="1" t="s">
        <v>1294</v>
      </c>
      <c r="C652" s="1" t="s">
        <v>2697</v>
      </c>
      <c r="D652" s="1" t="s">
        <v>2777</v>
      </c>
      <c r="E652">
        <v>499</v>
      </c>
      <c r="F652">
        <v>0.4</v>
      </c>
      <c r="G652">
        <v>4.2</v>
      </c>
      <c r="H652">
        <v>24432</v>
      </c>
    </row>
    <row r="653" spans="1:8" x14ac:dyDescent="0.25">
      <c r="A653" s="1" t="s">
        <v>1295</v>
      </c>
      <c r="B653" s="1" t="s">
        <v>1296</v>
      </c>
      <c r="C653" s="1" t="s">
        <v>2694</v>
      </c>
      <c r="D653" s="1" t="s">
        <v>2739</v>
      </c>
      <c r="E653">
        <v>1400</v>
      </c>
      <c r="F653">
        <v>0.59</v>
      </c>
      <c r="G653">
        <v>4.3</v>
      </c>
      <c r="H653">
        <v>189104</v>
      </c>
    </row>
    <row r="654" spans="1:8" x14ac:dyDescent="0.25">
      <c r="A654" s="1" t="s">
        <v>1297</v>
      </c>
      <c r="B654" s="1" t="s">
        <v>1298</v>
      </c>
      <c r="C654" s="1" t="s">
        <v>2697</v>
      </c>
      <c r="D654" s="1" t="s">
        <v>2778</v>
      </c>
      <c r="E654">
        <v>3299</v>
      </c>
      <c r="F654">
        <v>0.24</v>
      </c>
      <c r="G654">
        <v>4.2</v>
      </c>
      <c r="H654">
        <v>93112</v>
      </c>
    </row>
    <row r="655" spans="1:8" x14ac:dyDescent="0.25">
      <c r="A655" s="1" t="s">
        <v>1299</v>
      </c>
      <c r="B655" s="1" t="s">
        <v>1300</v>
      </c>
      <c r="C655" s="1" t="s">
        <v>2697</v>
      </c>
      <c r="D655" s="1" t="s">
        <v>2720</v>
      </c>
      <c r="E655">
        <v>5999</v>
      </c>
      <c r="F655">
        <v>0.8</v>
      </c>
      <c r="G655">
        <v>3.9</v>
      </c>
      <c r="H655">
        <v>47521</v>
      </c>
    </row>
    <row r="656" spans="1:8" x14ac:dyDescent="0.25">
      <c r="A656" s="1" t="s">
        <v>1301</v>
      </c>
      <c r="B656" s="1" t="s">
        <v>1302</v>
      </c>
      <c r="C656" s="1" t="s">
        <v>2697</v>
      </c>
      <c r="D656" s="1" t="s">
        <v>2770</v>
      </c>
      <c r="E656">
        <v>499</v>
      </c>
      <c r="F656">
        <v>0.2</v>
      </c>
      <c r="G656">
        <v>4.3</v>
      </c>
      <c r="H656">
        <v>27201</v>
      </c>
    </row>
    <row r="657" spans="1:8" x14ac:dyDescent="0.25">
      <c r="A657" s="1" t="s">
        <v>1303</v>
      </c>
      <c r="B657" s="1" t="s">
        <v>1304</v>
      </c>
      <c r="C657" s="1" t="s">
        <v>2694</v>
      </c>
      <c r="D657" s="1" t="s">
        <v>2740</v>
      </c>
      <c r="E657">
        <v>375</v>
      </c>
      <c r="F657">
        <v>0.26</v>
      </c>
      <c r="G657">
        <v>4.3</v>
      </c>
      <c r="H657">
        <v>31534</v>
      </c>
    </row>
    <row r="658" spans="1:8" x14ac:dyDescent="0.25">
      <c r="A658" s="1" t="s">
        <v>1305</v>
      </c>
      <c r="B658" s="1" t="s">
        <v>1306</v>
      </c>
      <c r="C658" s="1" t="s">
        <v>2697</v>
      </c>
      <c r="D658" s="1" t="s">
        <v>2715</v>
      </c>
      <c r="E658">
        <v>4999</v>
      </c>
      <c r="F658">
        <v>0.5</v>
      </c>
      <c r="G658">
        <v>3.9</v>
      </c>
      <c r="H658">
        <v>7571</v>
      </c>
    </row>
    <row r="659" spans="1:8" x14ac:dyDescent="0.25">
      <c r="A659" s="1" t="s">
        <v>1307</v>
      </c>
      <c r="B659" s="1" t="s">
        <v>1308</v>
      </c>
      <c r="C659" s="1" t="s">
        <v>2748</v>
      </c>
      <c r="D659" s="1" t="s">
        <v>2769</v>
      </c>
      <c r="E659">
        <v>160</v>
      </c>
      <c r="F659">
        <v>0.14000000000000001</v>
      </c>
      <c r="G659">
        <v>4.4000000000000004</v>
      </c>
      <c r="H659">
        <v>6537</v>
      </c>
    </row>
    <row r="660" spans="1:8" x14ac:dyDescent="0.25">
      <c r="A660" s="1" t="s">
        <v>1309</v>
      </c>
      <c r="B660" s="1" t="s">
        <v>1310</v>
      </c>
      <c r="C660" s="1" t="s">
        <v>2694</v>
      </c>
      <c r="D660" s="1" t="s">
        <v>2764</v>
      </c>
      <c r="E660">
        <v>499</v>
      </c>
      <c r="F660">
        <v>0.4</v>
      </c>
      <c r="G660">
        <v>4.5</v>
      </c>
      <c r="H660">
        <v>21010</v>
      </c>
    </row>
    <row r="661" spans="1:8" x14ac:dyDescent="0.25">
      <c r="A661" s="1" t="s">
        <v>1311</v>
      </c>
      <c r="B661" s="1" t="s">
        <v>1312</v>
      </c>
      <c r="C661" s="1" t="s">
        <v>2697</v>
      </c>
      <c r="D661" s="1" t="s">
        <v>2720</v>
      </c>
      <c r="E661">
        <v>3999</v>
      </c>
      <c r="F661">
        <v>0.55000000000000004</v>
      </c>
      <c r="G661">
        <v>3.9</v>
      </c>
      <c r="H661">
        <v>3517</v>
      </c>
    </row>
    <row r="662" spans="1:8" x14ac:dyDescent="0.25">
      <c r="A662" s="1" t="s">
        <v>1313</v>
      </c>
      <c r="B662" s="1" t="s">
        <v>1314</v>
      </c>
      <c r="C662" s="1" t="s">
        <v>2697</v>
      </c>
      <c r="D662" s="1" t="s">
        <v>2768</v>
      </c>
      <c r="E662">
        <v>2999</v>
      </c>
      <c r="F662">
        <v>0.33</v>
      </c>
      <c r="G662">
        <v>4.3</v>
      </c>
      <c r="H662">
        <v>63899</v>
      </c>
    </row>
    <row r="663" spans="1:8" x14ac:dyDescent="0.25">
      <c r="A663" s="1" t="s">
        <v>1315</v>
      </c>
      <c r="B663" s="1" t="s">
        <v>1316</v>
      </c>
      <c r="C663" s="1" t="s">
        <v>2694</v>
      </c>
      <c r="D663" s="1" t="s">
        <v>2730</v>
      </c>
      <c r="E663">
        <v>1499</v>
      </c>
      <c r="F663">
        <v>0.73</v>
      </c>
      <c r="G663">
        <v>4.0999999999999996</v>
      </c>
      <c r="H663">
        <v>5730</v>
      </c>
    </row>
    <row r="664" spans="1:8" x14ac:dyDescent="0.25">
      <c r="A664" s="1" t="s">
        <v>1317</v>
      </c>
      <c r="B664" s="1" t="s">
        <v>1318</v>
      </c>
      <c r="C664" s="1" t="s">
        <v>2694</v>
      </c>
      <c r="D664" s="1" t="s">
        <v>2779</v>
      </c>
      <c r="E664">
        <v>3999</v>
      </c>
      <c r="F664">
        <v>0.57999999999999996</v>
      </c>
      <c r="G664">
        <v>4.2</v>
      </c>
      <c r="H664">
        <v>25488</v>
      </c>
    </row>
    <row r="665" spans="1:8" x14ac:dyDescent="0.25">
      <c r="A665" s="1" t="s">
        <v>1319</v>
      </c>
      <c r="B665" s="1" t="s">
        <v>1320</v>
      </c>
      <c r="C665" s="1" t="s">
        <v>2694</v>
      </c>
      <c r="D665" s="1" t="s">
        <v>2740</v>
      </c>
      <c r="E665">
        <v>995</v>
      </c>
      <c r="F665">
        <v>0.3</v>
      </c>
      <c r="G665">
        <v>4.5</v>
      </c>
      <c r="H665">
        <v>54405</v>
      </c>
    </row>
    <row r="666" spans="1:8" x14ac:dyDescent="0.25">
      <c r="A666" s="1" t="s">
        <v>1321</v>
      </c>
      <c r="B666" s="1" t="s">
        <v>1322</v>
      </c>
      <c r="C666" s="1" t="s">
        <v>2694</v>
      </c>
      <c r="D666" s="1" t="s">
        <v>2766</v>
      </c>
      <c r="E666">
        <v>1699</v>
      </c>
      <c r="F666">
        <v>0.32</v>
      </c>
      <c r="G666">
        <v>4.2</v>
      </c>
      <c r="H666">
        <v>122478</v>
      </c>
    </row>
    <row r="667" spans="1:8" x14ac:dyDescent="0.25">
      <c r="A667" s="1" t="s">
        <v>1323</v>
      </c>
      <c r="B667" s="1" t="s">
        <v>1324</v>
      </c>
      <c r="C667" s="1" t="s">
        <v>2694</v>
      </c>
      <c r="D667" s="1" t="s">
        <v>2752</v>
      </c>
      <c r="E667">
        <v>1995</v>
      </c>
      <c r="F667">
        <v>0.25</v>
      </c>
      <c r="G667">
        <v>4.3</v>
      </c>
      <c r="H667">
        <v>7241</v>
      </c>
    </row>
    <row r="668" spans="1:8" x14ac:dyDescent="0.25">
      <c r="A668" s="1" t="s">
        <v>1325</v>
      </c>
      <c r="B668" s="1" t="s">
        <v>1326</v>
      </c>
      <c r="C668" s="1" t="s">
        <v>2694</v>
      </c>
      <c r="D668" s="1" t="s">
        <v>2742</v>
      </c>
      <c r="E668">
        <v>4999</v>
      </c>
      <c r="F668">
        <v>0.83</v>
      </c>
      <c r="G668">
        <v>4</v>
      </c>
      <c r="H668">
        <v>20457</v>
      </c>
    </row>
    <row r="669" spans="1:8" x14ac:dyDescent="0.25">
      <c r="A669" s="1" t="s">
        <v>1327</v>
      </c>
      <c r="B669" s="1" t="s">
        <v>1328</v>
      </c>
      <c r="C669" s="1" t="s">
        <v>2748</v>
      </c>
      <c r="D669" s="1" t="s">
        <v>2780</v>
      </c>
      <c r="E669">
        <v>440</v>
      </c>
      <c r="F669">
        <v>0</v>
      </c>
      <c r="G669">
        <v>4.5</v>
      </c>
      <c r="H669">
        <v>8610</v>
      </c>
    </row>
    <row r="670" spans="1:8" x14ac:dyDescent="0.25">
      <c r="A670" s="1" t="s">
        <v>1329</v>
      </c>
      <c r="B670" s="1" t="s">
        <v>1330</v>
      </c>
      <c r="C670" s="1" t="s">
        <v>2694</v>
      </c>
      <c r="D670" s="1" t="s">
        <v>2742</v>
      </c>
      <c r="E670">
        <v>3999</v>
      </c>
      <c r="F670">
        <v>0.85</v>
      </c>
      <c r="G670">
        <v>3.9</v>
      </c>
      <c r="H670">
        <v>1087</v>
      </c>
    </row>
    <row r="671" spans="1:8" x14ac:dyDescent="0.25">
      <c r="A671" s="1" t="s">
        <v>1331</v>
      </c>
      <c r="B671" s="1" t="s">
        <v>1332</v>
      </c>
      <c r="C671" s="1" t="s">
        <v>2694</v>
      </c>
      <c r="D671" s="1" t="s">
        <v>2772</v>
      </c>
      <c r="E671">
        <v>399</v>
      </c>
      <c r="F671">
        <v>0.63</v>
      </c>
      <c r="G671">
        <v>4</v>
      </c>
      <c r="H671">
        <v>1540</v>
      </c>
    </row>
    <row r="672" spans="1:8" x14ac:dyDescent="0.25">
      <c r="A672" s="1" t="s">
        <v>1333</v>
      </c>
      <c r="B672" s="1" t="s">
        <v>1334</v>
      </c>
      <c r="C672" s="1" t="s">
        <v>2694</v>
      </c>
      <c r="D672" s="1" t="s">
        <v>2741</v>
      </c>
      <c r="E672">
        <v>999</v>
      </c>
      <c r="F672">
        <v>0.71</v>
      </c>
      <c r="G672">
        <v>4.0999999999999996</v>
      </c>
      <c r="H672">
        <v>401</v>
      </c>
    </row>
    <row r="673" spans="1:8" x14ac:dyDescent="0.25">
      <c r="A673" s="1" t="s">
        <v>1335</v>
      </c>
      <c r="B673" s="1" t="s">
        <v>1336</v>
      </c>
      <c r="C673" s="1" t="s">
        <v>2694</v>
      </c>
      <c r="D673" s="1" t="s">
        <v>2781</v>
      </c>
      <c r="E673">
        <v>499</v>
      </c>
      <c r="F673">
        <v>0.64</v>
      </c>
      <c r="G673">
        <v>3.4</v>
      </c>
      <c r="H673">
        <v>9385</v>
      </c>
    </row>
    <row r="674" spans="1:8" x14ac:dyDescent="0.25">
      <c r="A674" s="1" t="s">
        <v>1337</v>
      </c>
      <c r="B674" s="1" t="s">
        <v>1338</v>
      </c>
      <c r="C674" s="1" t="s">
        <v>2697</v>
      </c>
      <c r="D674" s="1" t="s">
        <v>2715</v>
      </c>
      <c r="E674">
        <v>4999</v>
      </c>
      <c r="F674">
        <v>0.7</v>
      </c>
      <c r="G674">
        <v>4</v>
      </c>
      <c r="H674">
        <v>92588</v>
      </c>
    </row>
    <row r="675" spans="1:8" x14ac:dyDescent="0.25">
      <c r="A675" s="1" t="s">
        <v>1339</v>
      </c>
      <c r="B675" s="1" t="s">
        <v>1340</v>
      </c>
      <c r="C675" s="1" t="s">
        <v>2697</v>
      </c>
      <c r="D675" s="1" t="s">
        <v>2720</v>
      </c>
      <c r="E675">
        <v>699</v>
      </c>
      <c r="F675">
        <v>0.43</v>
      </c>
      <c r="G675">
        <v>3.4</v>
      </c>
      <c r="H675">
        <v>3454</v>
      </c>
    </row>
    <row r="676" spans="1:8" x14ac:dyDescent="0.25">
      <c r="A676" s="1" t="s">
        <v>1341</v>
      </c>
      <c r="B676" s="1" t="s">
        <v>1342</v>
      </c>
      <c r="C676" s="1" t="s">
        <v>2694</v>
      </c>
      <c r="D676" s="1" t="s">
        <v>2761</v>
      </c>
      <c r="E676">
        <v>799</v>
      </c>
      <c r="F676">
        <v>0.25</v>
      </c>
      <c r="G676">
        <v>4.3</v>
      </c>
      <c r="H676">
        <v>15790</v>
      </c>
    </row>
    <row r="677" spans="1:8" x14ac:dyDescent="0.25">
      <c r="A677" s="1" t="s">
        <v>1343</v>
      </c>
      <c r="B677" s="1" t="s">
        <v>1344</v>
      </c>
      <c r="C677" s="1" t="s">
        <v>2694</v>
      </c>
      <c r="D677" s="1" t="s">
        <v>2782</v>
      </c>
      <c r="E677">
        <v>2000</v>
      </c>
      <c r="F677">
        <v>0.53</v>
      </c>
      <c r="G677">
        <v>3.9</v>
      </c>
      <c r="H677">
        <v>14969</v>
      </c>
    </row>
    <row r="678" spans="1:8" x14ac:dyDescent="0.25">
      <c r="A678" s="1" t="s">
        <v>1345</v>
      </c>
      <c r="B678" s="1" t="s">
        <v>1346</v>
      </c>
      <c r="C678" s="1" t="s">
        <v>2697</v>
      </c>
      <c r="D678" s="1" t="s">
        <v>2715</v>
      </c>
      <c r="E678">
        <v>9999</v>
      </c>
      <c r="F678">
        <v>0.75</v>
      </c>
      <c r="G678">
        <v>4.0999999999999996</v>
      </c>
      <c r="H678">
        <v>42139</v>
      </c>
    </row>
    <row r="679" spans="1:8" x14ac:dyDescent="0.25">
      <c r="A679" s="1" t="s">
        <v>1347</v>
      </c>
      <c r="B679" s="1" t="s">
        <v>1348</v>
      </c>
      <c r="C679" s="1" t="s">
        <v>2697</v>
      </c>
      <c r="D679" s="1" t="s">
        <v>2747</v>
      </c>
      <c r="E679">
        <v>180</v>
      </c>
      <c r="F679">
        <v>0.12</v>
      </c>
      <c r="G679">
        <v>4.3</v>
      </c>
      <c r="H679">
        <v>989</v>
      </c>
    </row>
    <row r="680" spans="1:8" x14ac:dyDescent="0.25">
      <c r="A680" s="1" t="s">
        <v>1349</v>
      </c>
      <c r="B680" s="1" t="s">
        <v>1350</v>
      </c>
      <c r="C680" s="1" t="s">
        <v>2697</v>
      </c>
      <c r="D680" s="1" t="s">
        <v>2718</v>
      </c>
      <c r="E680">
        <v>2900</v>
      </c>
      <c r="F680">
        <v>0.54</v>
      </c>
      <c r="G680">
        <v>4.5</v>
      </c>
      <c r="H680">
        <v>19624</v>
      </c>
    </row>
    <row r="681" spans="1:8" x14ac:dyDescent="0.25">
      <c r="A681" s="1" t="s">
        <v>1351</v>
      </c>
      <c r="B681" s="1" t="s">
        <v>1352</v>
      </c>
      <c r="C681" s="1" t="s">
        <v>2694</v>
      </c>
      <c r="D681" s="1" t="s">
        <v>2781</v>
      </c>
      <c r="E681">
        <v>999</v>
      </c>
      <c r="F681">
        <v>0.43</v>
      </c>
      <c r="G681">
        <v>4.2</v>
      </c>
      <c r="H681">
        <v>3201</v>
      </c>
    </row>
    <row r="682" spans="1:8" x14ac:dyDescent="0.25">
      <c r="A682" s="1" t="s">
        <v>1353</v>
      </c>
      <c r="B682" s="1" t="s">
        <v>1354</v>
      </c>
      <c r="C682" s="1" t="s">
        <v>2697</v>
      </c>
      <c r="D682" s="1" t="s">
        <v>2783</v>
      </c>
      <c r="E682">
        <v>1999</v>
      </c>
      <c r="F682">
        <v>0.55000000000000004</v>
      </c>
      <c r="G682">
        <v>4.0999999999999996</v>
      </c>
      <c r="H682">
        <v>30469</v>
      </c>
    </row>
    <row r="683" spans="1:8" x14ac:dyDescent="0.25">
      <c r="A683" s="1" t="s">
        <v>1355</v>
      </c>
      <c r="B683" s="1" t="s">
        <v>1356</v>
      </c>
      <c r="C683" s="1" t="s">
        <v>2694</v>
      </c>
      <c r="D683" s="1" t="s">
        <v>2784</v>
      </c>
      <c r="E683">
        <v>999</v>
      </c>
      <c r="F683">
        <v>0.55000000000000004</v>
      </c>
      <c r="G683">
        <v>4.4000000000000004</v>
      </c>
      <c r="H683">
        <v>9940</v>
      </c>
    </row>
    <row r="684" spans="1:8" x14ac:dyDescent="0.25">
      <c r="A684" s="1" t="s">
        <v>1357</v>
      </c>
      <c r="B684" s="1" t="s">
        <v>1358</v>
      </c>
      <c r="C684" s="1" t="s">
        <v>2694</v>
      </c>
      <c r="D684" s="1" t="s">
        <v>2785</v>
      </c>
      <c r="E684">
        <v>999</v>
      </c>
      <c r="F684">
        <v>0.45</v>
      </c>
      <c r="G684">
        <v>4.3</v>
      </c>
      <c r="H684">
        <v>7758</v>
      </c>
    </row>
    <row r="685" spans="1:8" x14ac:dyDescent="0.25">
      <c r="A685" s="1" t="s">
        <v>1359</v>
      </c>
      <c r="B685" s="1" t="s">
        <v>1360</v>
      </c>
      <c r="C685" s="1" t="s">
        <v>2694</v>
      </c>
      <c r="D685" s="1" t="s">
        <v>2766</v>
      </c>
      <c r="E685">
        <v>2399</v>
      </c>
      <c r="F685">
        <v>0.36</v>
      </c>
      <c r="G685">
        <v>4.3</v>
      </c>
      <c r="H685">
        <v>68409</v>
      </c>
    </row>
    <row r="686" spans="1:8" x14ac:dyDescent="0.25">
      <c r="A686" s="1" t="s">
        <v>1361</v>
      </c>
      <c r="B686" s="1" t="s">
        <v>1362</v>
      </c>
      <c r="C686" s="1" t="s">
        <v>2748</v>
      </c>
      <c r="D686" s="1" t="s">
        <v>2786</v>
      </c>
      <c r="E686">
        <v>100</v>
      </c>
      <c r="F686">
        <v>0</v>
      </c>
      <c r="G686">
        <v>4.3</v>
      </c>
      <c r="H686">
        <v>3095</v>
      </c>
    </row>
    <row r="687" spans="1:8" x14ac:dyDescent="0.25">
      <c r="A687" s="1" t="s">
        <v>1363</v>
      </c>
      <c r="B687" s="1" t="s">
        <v>1364</v>
      </c>
      <c r="C687" s="1" t="s">
        <v>2694</v>
      </c>
      <c r="D687" s="1" t="s">
        <v>2743</v>
      </c>
      <c r="E687">
        <v>1499</v>
      </c>
      <c r="F687">
        <v>0.8</v>
      </c>
      <c r="G687">
        <v>4.2</v>
      </c>
      <c r="H687">
        <v>903</v>
      </c>
    </row>
    <row r="688" spans="1:8" x14ac:dyDescent="0.25">
      <c r="A688" s="1" t="s">
        <v>1365</v>
      </c>
      <c r="B688" s="1" t="s">
        <v>1366</v>
      </c>
      <c r="C688" s="1" t="s">
        <v>2694</v>
      </c>
      <c r="D688" s="1" t="s">
        <v>2752</v>
      </c>
      <c r="E688">
        <v>1795</v>
      </c>
      <c r="F688">
        <v>0.28000000000000003</v>
      </c>
      <c r="G688">
        <v>4.0999999999999996</v>
      </c>
      <c r="H688">
        <v>25771</v>
      </c>
    </row>
    <row r="689" spans="1:8" x14ac:dyDescent="0.25">
      <c r="A689" s="1" t="s">
        <v>1367</v>
      </c>
      <c r="B689" s="1" t="s">
        <v>1368</v>
      </c>
      <c r="C689" s="1" t="s">
        <v>2697</v>
      </c>
      <c r="D689" s="1" t="s">
        <v>2720</v>
      </c>
      <c r="E689">
        <v>999</v>
      </c>
      <c r="F689">
        <v>0.3</v>
      </c>
      <c r="G689">
        <v>4.0999999999999996</v>
      </c>
      <c r="H689">
        <v>273189</v>
      </c>
    </row>
    <row r="690" spans="1:8" x14ac:dyDescent="0.25">
      <c r="A690" s="1" t="s">
        <v>1369</v>
      </c>
      <c r="B690" s="1" t="s">
        <v>1370</v>
      </c>
      <c r="C690" s="1" t="s">
        <v>2748</v>
      </c>
      <c r="D690" s="1" t="s">
        <v>2787</v>
      </c>
      <c r="E690">
        <v>315</v>
      </c>
      <c r="F690">
        <v>0.2</v>
      </c>
      <c r="G690">
        <v>4.5</v>
      </c>
      <c r="H690">
        <v>3785</v>
      </c>
    </row>
    <row r="691" spans="1:8" x14ac:dyDescent="0.25">
      <c r="A691" s="1" t="s">
        <v>1371</v>
      </c>
      <c r="B691" s="1" t="s">
        <v>1372</v>
      </c>
      <c r="C691" s="1" t="s">
        <v>2697</v>
      </c>
      <c r="D691" s="1" t="s">
        <v>2747</v>
      </c>
      <c r="E691">
        <v>220</v>
      </c>
      <c r="F691">
        <v>0.14000000000000001</v>
      </c>
      <c r="G691">
        <v>4.4000000000000004</v>
      </c>
      <c r="H691">
        <v>2866</v>
      </c>
    </row>
    <row r="692" spans="1:8" x14ac:dyDescent="0.25">
      <c r="A692" s="1" t="s">
        <v>1373</v>
      </c>
      <c r="B692" s="1" t="s">
        <v>1374</v>
      </c>
      <c r="C692" s="1" t="s">
        <v>2694</v>
      </c>
      <c r="D692" s="1" t="s">
        <v>2752</v>
      </c>
      <c r="E692">
        <v>1599</v>
      </c>
      <c r="F692">
        <v>0.19</v>
      </c>
      <c r="G692">
        <v>4.3</v>
      </c>
      <c r="H692">
        <v>27223</v>
      </c>
    </row>
    <row r="693" spans="1:8" x14ac:dyDescent="0.25">
      <c r="A693" s="1" t="s">
        <v>1375</v>
      </c>
      <c r="B693" s="1" t="s">
        <v>1376</v>
      </c>
      <c r="C693" s="1" t="s">
        <v>2694</v>
      </c>
      <c r="D693" s="1" t="s">
        <v>2739</v>
      </c>
      <c r="E693">
        <v>1650</v>
      </c>
      <c r="F693">
        <v>0.56000000000000005</v>
      </c>
      <c r="G693">
        <v>4.3</v>
      </c>
      <c r="H693">
        <v>82356</v>
      </c>
    </row>
    <row r="694" spans="1:8" x14ac:dyDescent="0.25">
      <c r="A694" s="1" t="s">
        <v>1377</v>
      </c>
      <c r="B694" s="1" t="s">
        <v>1378</v>
      </c>
      <c r="C694" s="1" t="s">
        <v>2748</v>
      </c>
      <c r="D694" s="1" t="s">
        <v>2788</v>
      </c>
      <c r="E694">
        <v>600</v>
      </c>
      <c r="F694">
        <v>0.2</v>
      </c>
      <c r="G694">
        <v>4.3</v>
      </c>
      <c r="H694">
        <v>5719</v>
      </c>
    </row>
    <row r="695" spans="1:8" x14ac:dyDescent="0.25">
      <c r="A695" s="1" t="s">
        <v>1379</v>
      </c>
      <c r="B695" s="1" t="s">
        <v>1380</v>
      </c>
      <c r="C695" s="1" t="s">
        <v>2694</v>
      </c>
      <c r="D695" s="1" t="s">
        <v>2742</v>
      </c>
      <c r="E695">
        <v>2499</v>
      </c>
      <c r="F695">
        <v>0.6</v>
      </c>
      <c r="G695">
        <v>4.3</v>
      </c>
      <c r="H695">
        <v>1690</v>
      </c>
    </row>
    <row r="696" spans="1:8" x14ac:dyDescent="0.25">
      <c r="A696" s="1" t="s">
        <v>1381</v>
      </c>
      <c r="B696" s="1" t="s">
        <v>1382</v>
      </c>
      <c r="C696" s="1" t="s">
        <v>2694</v>
      </c>
      <c r="D696" s="1" t="s">
        <v>2789</v>
      </c>
      <c r="E696">
        <v>699</v>
      </c>
      <c r="F696">
        <v>0.66</v>
      </c>
      <c r="G696">
        <v>4.4000000000000004</v>
      </c>
      <c r="H696">
        <v>8372</v>
      </c>
    </row>
    <row r="697" spans="1:8" x14ac:dyDescent="0.25">
      <c r="A697" s="1" t="s">
        <v>1383</v>
      </c>
      <c r="B697" s="1" t="s">
        <v>1384</v>
      </c>
      <c r="C697" s="1" t="s">
        <v>2694</v>
      </c>
      <c r="D697" s="1" t="s">
        <v>2752</v>
      </c>
      <c r="E697">
        <v>2198</v>
      </c>
      <c r="F697">
        <v>0.39</v>
      </c>
      <c r="G697">
        <v>4</v>
      </c>
      <c r="H697">
        <v>7113</v>
      </c>
    </row>
    <row r="698" spans="1:8" x14ac:dyDescent="0.25">
      <c r="A698" s="1" t="s">
        <v>1385</v>
      </c>
      <c r="B698" s="1" t="s">
        <v>1386</v>
      </c>
      <c r="C698" s="1" t="s">
        <v>2694</v>
      </c>
      <c r="D698" s="1" t="s">
        <v>2782</v>
      </c>
      <c r="E698">
        <v>499</v>
      </c>
      <c r="F698">
        <v>0.6</v>
      </c>
      <c r="G698">
        <v>3.3</v>
      </c>
      <c r="H698">
        <v>2804</v>
      </c>
    </row>
    <row r="699" spans="1:8" x14ac:dyDescent="0.25">
      <c r="A699" s="1" t="s">
        <v>1387</v>
      </c>
      <c r="B699" s="1" t="s">
        <v>1388</v>
      </c>
      <c r="C699" s="1" t="s">
        <v>2697</v>
      </c>
      <c r="D699" s="1" t="s">
        <v>2720</v>
      </c>
      <c r="E699">
        <v>9999</v>
      </c>
      <c r="F699">
        <v>0.8</v>
      </c>
      <c r="G699">
        <v>3.7</v>
      </c>
      <c r="H699">
        <v>1986</v>
      </c>
    </row>
    <row r="700" spans="1:8" x14ac:dyDescent="0.25">
      <c r="A700" s="1" t="s">
        <v>1389</v>
      </c>
      <c r="B700" s="1" t="s">
        <v>1390</v>
      </c>
      <c r="C700" s="1" t="s">
        <v>2697</v>
      </c>
      <c r="D700" s="1" t="s">
        <v>2727</v>
      </c>
      <c r="E700">
        <v>499</v>
      </c>
      <c r="F700">
        <v>0.8</v>
      </c>
      <c r="G700">
        <v>4.0999999999999996</v>
      </c>
      <c r="H700">
        <v>2451</v>
      </c>
    </row>
    <row r="701" spans="1:8" x14ac:dyDescent="0.25">
      <c r="A701" s="1" t="s">
        <v>1391</v>
      </c>
      <c r="B701" s="1" t="s">
        <v>1392</v>
      </c>
      <c r="C701" s="1" t="s">
        <v>2694</v>
      </c>
      <c r="D701" s="1" t="s">
        <v>2740</v>
      </c>
      <c r="E701">
        <v>1000</v>
      </c>
      <c r="F701">
        <v>0.5</v>
      </c>
      <c r="G701">
        <v>5</v>
      </c>
      <c r="H701">
        <v>23</v>
      </c>
    </row>
    <row r="702" spans="1:8" x14ac:dyDescent="0.25">
      <c r="A702" s="1" t="s">
        <v>1393</v>
      </c>
      <c r="B702" s="1" t="s">
        <v>1394</v>
      </c>
      <c r="C702" s="1" t="s">
        <v>2694</v>
      </c>
      <c r="D702" s="1" t="s">
        <v>2790</v>
      </c>
      <c r="E702">
        <v>3500</v>
      </c>
      <c r="F702">
        <v>0.49</v>
      </c>
      <c r="G702">
        <v>4.5</v>
      </c>
      <c r="H702">
        <v>26194</v>
      </c>
    </row>
    <row r="703" spans="1:8" x14ac:dyDescent="0.25">
      <c r="A703" s="1" t="s">
        <v>1395</v>
      </c>
      <c r="B703" s="1" t="s">
        <v>1396</v>
      </c>
      <c r="C703" s="1" t="s">
        <v>2694</v>
      </c>
      <c r="D703" s="1" t="s">
        <v>2791</v>
      </c>
      <c r="E703">
        <v>4100</v>
      </c>
      <c r="F703">
        <v>0.2</v>
      </c>
      <c r="G703">
        <v>3.9</v>
      </c>
      <c r="H703">
        <v>15783</v>
      </c>
    </row>
    <row r="704" spans="1:8" x14ac:dyDescent="0.25">
      <c r="A704" s="1" t="s">
        <v>1397</v>
      </c>
      <c r="B704" s="1" t="s">
        <v>1398</v>
      </c>
      <c r="C704" s="1" t="s">
        <v>2748</v>
      </c>
      <c r="D704" s="1" t="s">
        <v>2787</v>
      </c>
      <c r="E704">
        <v>180</v>
      </c>
      <c r="F704">
        <v>0.31</v>
      </c>
      <c r="G704">
        <v>4.4000000000000004</v>
      </c>
      <c r="H704">
        <v>8053</v>
      </c>
    </row>
    <row r="705" spans="1:8" x14ac:dyDescent="0.25">
      <c r="A705" s="1" t="s">
        <v>1399</v>
      </c>
      <c r="B705" s="1" t="s">
        <v>1400</v>
      </c>
      <c r="C705" s="1" t="s">
        <v>2694</v>
      </c>
      <c r="D705" s="1" t="s">
        <v>2740</v>
      </c>
      <c r="E705">
        <v>1190</v>
      </c>
      <c r="F705">
        <v>0.66</v>
      </c>
      <c r="G705">
        <v>4.0999999999999996</v>
      </c>
      <c r="H705">
        <v>2809</v>
      </c>
    </row>
    <row r="706" spans="1:8" x14ac:dyDescent="0.25">
      <c r="A706" s="1" t="s">
        <v>1401</v>
      </c>
      <c r="B706" s="1" t="s">
        <v>1402</v>
      </c>
      <c r="C706" s="1" t="s">
        <v>2697</v>
      </c>
      <c r="D706" s="1" t="s">
        <v>2720</v>
      </c>
      <c r="E706">
        <v>7999</v>
      </c>
      <c r="F706">
        <v>0.85</v>
      </c>
      <c r="G706">
        <v>3.6</v>
      </c>
      <c r="H706">
        <v>25910</v>
      </c>
    </row>
    <row r="707" spans="1:8" x14ac:dyDescent="0.25">
      <c r="A707" s="1" t="s">
        <v>1403</v>
      </c>
      <c r="B707" s="1" t="s">
        <v>1404</v>
      </c>
      <c r="C707" s="1" t="s">
        <v>2694</v>
      </c>
      <c r="D707" s="1" t="s">
        <v>2741</v>
      </c>
      <c r="E707">
        <v>1599</v>
      </c>
      <c r="F707">
        <v>0.85</v>
      </c>
      <c r="G707">
        <v>3.8</v>
      </c>
      <c r="H707">
        <v>1173</v>
      </c>
    </row>
    <row r="708" spans="1:8" x14ac:dyDescent="0.25">
      <c r="A708" s="1" t="s">
        <v>1405</v>
      </c>
      <c r="B708" s="1" t="s">
        <v>1406</v>
      </c>
      <c r="C708" s="1" t="s">
        <v>2694</v>
      </c>
      <c r="D708" s="1" t="s">
        <v>2742</v>
      </c>
      <c r="E708">
        <v>1999</v>
      </c>
      <c r="F708">
        <v>0.73</v>
      </c>
      <c r="G708">
        <v>3.6</v>
      </c>
      <c r="H708">
        <v>6422</v>
      </c>
    </row>
    <row r="709" spans="1:8" x14ac:dyDescent="0.25">
      <c r="A709" s="1" t="s">
        <v>1407</v>
      </c>
      <c r="B709" s="1" t="s">
        <v>1408</v>
      </c>
      <c r="C709" s="1" t="s">
        <v>2694</v>
      </c>
      <c r="D709" s="1" t="s">
        <v>2776</v>
      </c>
      <c r="E709">
        <v>99</v>
      </c>
      <c r="F709">
        <v>0.1</v>
      </c>
      <c r="G709">
        <v>4.2</v>
      </c>
      <c r="H709">
        <v>241</v>
      </c>
    </row>
    <row r="710" spans="1:8" x14ac:dyDescent="0.25">
      <c r="A710" s="1" t="s">
        <v>1409</v>
      </c>
      <c r="B710" s="1" t="s">
        <v>1410</v>
      </c>
      <c r="C710" s="1" t="s">
        <v>2697</v>
      </c>
      <c r="D710" s="1" t="s">
        <v>2720</v>
      </c>
      <c r="E710">
        <v>2999</v>
      </c>
      <c r="F710">
        <v>0.56999999999999995</v>
      </c>
      <c r="G710">
        <v>3.8</v>
      </c>
      <c r="H710">
        <v>14629</v>
      </c>
    </row>
    <row r="711" spans="1:8" x14ac:dyDescent="0.25">
      <c r="A711" s="1" t="s">
        <v>1411</v>
      </c>
      <c r="B711" s="1" t="s">
        <v>1412</v>
      </c>
      <c r="C711" s="1" t="s">
        <v>2694</v>
      </c>
      <c r="D711" s="1" t="s">
        <v>2763</v>
      </c>
      <c r="E711">
        <v>999</v>
      </c>
      <c r="F711">
        <v>0.77</v>
      </c>
      <c r="G711">
        <v>4.2</v>
      </c>
      <c r="H711">
        <v>1528</v>
      </c>
    </row>
    <row r="712" spans="1:8" x14ac:dyDescent="0.25">
      <c r="A712" s="1" t="s">
        <v>1413</v>
      </c>
      <c r="B712" s="1" t="s">
        <v>1414</v>
      </c>
      <c r="C712" s="1" t="s">
        <v>2697</v>
      </c>
      <c r="D712" s="1" t="s">
        <v>2792</v>
      </c>
      <c r="E712">
        <v>499</v>
      </c>
      <c r="F712">
        <v>0.76</v>
      </c>
      <c r="G712">
        <v>4.3</v>
      </c>
      <c r="H712">
        <v>15032</v>
      </c>
    </row>
    <row r="713" spans="1:8" x14ac:dyDescent="0.25">
      <c r="A713" s="1" t="s">
        <v>1415</v>
      </c>
      <c r="B713" s="1" t="s">
        <v>1416</v>
      </c>
      <c r="C713" s="1" t="s">
        <v>2697</v>
      </c>
      <c r="D713" s="1" t="s">
        <v>2793</v>
      </c>
      <c r="E713">
        <v>800</v>
      </c>
      <c r="F713">
        <v>0.44</v>
      </c>
      <c r="G713">
        <v>4.4000000000000004</v>
      </c>
      <c r="H713">
        <v>69585</v>
      </c>
    </row>
    <row r="714" spans="1:8" x14ac:dyDescent="0.25">
      <c r="A714" s="1" t="s">
        <v>1417</v>
      </c>
      <c r="B714" s="1" t="s">
        <v>1418</v>
      </c>
      <c r="C714" s="1" t="s">
        <v>2697</v>
      </c>
      <c r="D714" s="1" t="s">
        <v>2794</v>
      </c>
      <c r="E714">
        <v>3495</v>
      </c>
      <c r="F714">
        <v>0.51</v>
      </c>
      <c r="G714">
        <v>4.0999999999999996</v>
      </c>
      <c r="H714">
        <v>14371</v>
      </c>
    </row>
    <row r="715" spans="1:8" x14ac:dyDescent="0.25">
      <c r="A715" s="1" t="s">
        <v>1419</v>
      </c>
      <c r="B715" s="1" t="s">
        <v>1420</v>
      </c>
      <c r="C715" s="1" t="s">
        <v>2748</v>
      </c>
      <c r="D715" s="1" t="s">
        <v>2787</v>
      </c>
      <c r="E715">
        <v>720</v>
      </c>
      <c r="F715">
        <v>0.22</v>
      </c>
      <c r="G715">
        <v>4.4000000000000004</v>
      </c>
      <c r="H715">
        <v>3182</v>
      </c>
    </row>
    <row r="716" spans="1:8" x14ac:dyDescent="0.25">
      <c r="A716" s="1" t="s">
        <v>1421</v>
      </c>
      <c r="B716" s="1" t="s">
        <v>1422</v>
      </c>
      <c r="C716" s="1" t="s">
        <v>2694</v>
      </c>
      <c r="D716" s="1" t="s">
        <v>2740</v>
      </c>
      <c r="E716">
        <v>590</v>
      </c>
      <c r="F716">
        <v>0.51</v>
      </c>
      <c r="G716">
        <v>4.4000000000000004</v>
      </c>
      <c r="H716">
        <v>25886</v>
      </c>
    </row>
    <row r="717" spans="1:8" x14ac:dyDescent="0.25">
      <c r="A717" s="1" t="s">
        <v>1423</v>
      </c>
      <c r="B717" s="1" t="s">
        <v>1424</v>
      </c>
      <c r="C717" s="1" t="s">
        <v>2694</v>
      </c>
      <c r="D717" s="1" t="s">
        <v>2743</v>
      </c>
      <c r="E717">
        <v>1999</v>
      </c>
      <c r="F717">
        <v>0.7</v>
      </c>
      <c r="G717">
        <v>4.4000000000000004</v>
      </c>
      <c r="H717">
        <v>4736</v>
      </c>
    </row>
    <row r="718" spans="1:8" x14ac:dyDescent="0.25">
      <c r="A718" s="1" t="s">
        <v>1425</v>
      </c>
      <c r="B718" s="1" t="s">
        <v>1426</v>
      </c>
      <c r="C718" s="1" t="s">
        <v>2694</v>
      </c>
      <c r="D718" s="1" t="s">
        <v>2753</v>
      </c>
      <c r="E718">
        <v>7350</v>
      </c>
      <c r="F718">
        <v>0.24</v>
      </c>
      <c r="G718">
        <v>4.4000000000000004</v>
      </c>
      <c r="H718">
        <v>73005</v>
      </c>
    </row>
    <row r="719" spans="1:8" x14ac:dyDescent="0.25">
      <c r="A719" s="1" t="s">
        <v>1427</v>
      </c>
      <c r="B719" s="1" t="s">
        <v>1428</v>
      </c>
      <c r="C719" s="1" t="s">
        <v>2694</v>
      </c>
      <c r="D719" s="1" t="s">
        <v>2795</v>
      </c>
      <c r="E719">
        <v>2595</v>
      </c>
      <c r="F719">
        <v>0.23</v>
      </c>
      <c r="G719">
        <v>4.3</v>
      </c>
      <c r="H719">
        <v>20398</v>
      </c>
    </row>
    <row r="720" spans="1:8" x14ac:dyDescent="0.25">
      <c r="A720" s="1" t="s">
        <v>1429</v>
      </c>
      <c r="B720" s="1" t="s">
        <v>1430</v>
      </c>
      <c r="C720" s="1" t="s">
        <v>2694</v>
      </c>
      <c r="D720" s="1" t="s">
        <v>2781</v>
      </c>
      <c r="E720">
        <v>799</v>
      </c>
      <c r="F720">
        <v>0.38</v>
      </c>
      <c r="G720">
        <v>4.3</v>
      </c>
      <c r="H720">
        <v>2125</v>
      </c>
    </row>
    <row r="721" spans="1:8" x14ac:dyDescent="0.25">
      <c r="A721" s="1" t="s">
        <v>1431</v>
      </c>
      <c r="B721" s="1" t="s">
        <v>1432</v>
      </c>
      <c r="C721" s="1" t="s">
        <v>2694</v>
      </c>
      <c r="D721" s="1" t="s">
        <v>2784</v>
      </c>
      <c r="E721">
        <v>999</v>
      </c>
      <c r="F721">
        <v>0.55000000000000004</v>
      </c>
      <c r="G721">
        <v>4.3</v>
      </c>
      <c r="H721">
        <v>11330</v>
      </c>
    </row>
    <row r="722" spans="1:8" x14ac:dyDescent="0.25">
      <c r="A722" s="1" t="s">
        <v>1433</v>
      </c>
      <c r="B722" s="1" t="s">
        <v>1434</v>
      </c>
      <c r="C722" s="1" t="s">
        <v>2694</v>
      </c>
      <c r="D722" s="1" t="s">
        <v>2796</v>
      </c>
      <c r="E722">
        <v>1999</v>
      </c>
      <c r="F722">
        <v>0.5</v>
      </c>
      <c r="G722">
        <v>4.2</v>
      </c>
      <c r="H722">
        <v>27441</v>
      </c>
    </row>
    <row r="723" spans="1:8" x14ac:dyDescent="0.25">
      <c r="A723" s="1" t="s">
        <v>1435</v>
      </c>
      <c r="B723" s="1" t="s">
        <v>1436</v>
      </c>
      <c r="C723" s="1" t="s">
        <v>2694</v>
      </c>
      <c r="D723" s="1" t="s">
        <v>2736</v>
      </c>
      <c r="E723">
        <v>299</v>
      </c>
      <c r="F723">
        <v>0.77</v>
      </c>
      <c r="G723">
        <v>4.3</v>
      </c>
      <c r="H723">
        <v>255</v>
      </c>
    </row>
    <row r="724" spans="1:8" x14ac:dyDescent="0.25">
      <c r="A724" s="1" t="s">
        <v>1437</v>
      </c>
      <c r="B724" s="1" t="s">
        <v>1438</v>
      </c>
      <c r="C724" s="1" t="s">
        <v>2694</v>
      </c>
      <c r="D724" s="1" t="s">
        <v>2740</v>
      </c>
      <c r="E724">
        <v>1499</v>
      </c>
      <c r="F724">
        <v>0.4</v>
      </c>
      <c r="G724">
        <v>4.2</v>
      </c>
      <c r="H724">
        <v>23174</v>
      </c>
    </row>
    <row r="725" spans="1:8" x14ac:dyDescent="0.25">
      <c r="A725" s="1" t="s">
        <v>1439</v>
      </c>
      <c r="B725" s="1" t="s">
        <v>1440</v>
      </c>
      <c r="C725" s="1" t="s">
        <v>2745</v>
      </c>
      <c r="D725" s="1" t="s">
        <v>2746</v>
      </c>
      <c r="E725">
        <v>699</v>
      </c>
      <c r="F725">
        <v>0.32</v>
      </c>
      <c r="G725">
        <v>3.8</v>
      </c>
      <c r="H725">
        <v>20218</v>
      </c>
    </row>
    <row r="726" spans="1:8" x14ac:dyDescent="0.25">
      <c r="A726" s="1" t="s">
        <v>1441</v>
      </c>
      <c r="B726" s="1" t="s">
        <v>1442</v>
      </c>
      <c r="C726" s="1" t="s">
        <v>2694</v>
      </c>
      <c r="D726" s="1" t="s">
        <v>2797</v>
      </c>
      <c r="E726">
        <v>2490</v>
      </c>
      <c r="F726">
        <v>0.44</v>
      </c>
      <c r="G726">
        <v>4.3</v>
      </c>
      <c r="H726">
        <v>11074</v>
      </c>
    </row>
    <row r="727" spans="1:8" x14ac:dyDescent="0.25">
      <c r="A727" s="1" t="s">
        <v>1443</v>
      </c>
      <c r="B727" s="1" t="s">
        <v>1444</v>
      </c>
      <c r="C727" s="1" t="s">
        <v>2694</v>
      </c>
      <c r="D727" s="1" t="s">
        <v>2727</v>
      </c>
      <c r="E727">
        <v>499</v>
      </c>
      <c r="F727">
        <v>0.7</v>
      </c>
      <c r="G727">
        <v>4.0999999999999996</v>
      </c>
      <c r="H727">
        <v>25607</v>
      </c>
    </row>
    <row r="728" spans="1:8" x14ac:dyDescent="0.25">
      <c r="A728" s="1" t="s">
        <v>1445</v>
      </c>
      <c r="B728" s="1" t="s">
        <v>1446</v>
      </c>
      <c r="C728" s="1" t="s">
        <v>2697</v>
      </c>
      <c r="D728" s="1" t="s">
        <v>2768</v>
      </c>
      <c r="E728">
        <v>4990</v>
      </c>
      <c r="F728">
        <v>0.64</v>
      </c>
      <c r="G728">
        <v>4.2</v>
      </c>
      <c r="H728">
        <v>41226</v>
      </c>
    </row>
    <row r="729" spans="1:8" x14ac:dyDescent="0.25">
      <c r="A729" s="1" t="s">
        <v>1447</v>
      </c>
      <c r="B729" s="1" t="s">
        <v>1448</v>
      </c>
      <c r="C729" s="1" t="s">
        <v>2798</v>
      </c>
      <c r="D729" s="1" t="s">
        <v>2799</v>
      </c>
      <c r="E729">
        <v>999</v>
      </c>
      <c r="F729">
        <v>0.56999999999999995</v>
      </c>
      <c r="G729">
        <v>4</v>
      </c>
      <c r="H729">
        <v>2581</v>
      </c>
    </row>
    <row r="730" spans="1:8" x14ac:dyDescent="0.25">
      <c r="A730" s="1" t="s">
        <v>1449</v>
      </c>
      <c r="B730" s="1" t="s">
        <v>1450</v>
      </c>
      <c r="C730" s="1" t="s">
        <v>2697</v>
      </c>
      <c r="D730" s="1" t="s">
        <v>2783</v>
      </c>
      <c r="E730">
        <v>2490</v>
      </c>
      <c r="F730">
        <v>0.6</v>
      </c>
      <c r="G730">
        <v>4.0999999999999996</v>
      </c>
      <c r="H730">
        <v>18331</v>
      </c>
    </row>
    <row r="731" spans="1:8" x14ac:dyDescent="0.25">
      <c r="A731" s="1" t="s">
        <v>1451</v>
      </c>
      <c r="B731" s="1" t="s">
        <v>1452</v>
      </c>
      <c r="C731" s="1" t="s">
        <v>2694</v>
      </c>
      <c r="D731" s="1" t="s">
        <v>2741</v>
      </c>
      <c r="E731">
        <v>999</v>
      </c>
      <c r="F731">
        <v>0.62</v>
      </c>
      <c r="G731">
        <v>4.0999999999999996</v>
      </c>
      <c r="H731">
        <v>1779</v>
      </c>
    </row>
    <row r="732" spans="1:8" x14ac:dyDescent="0.25">
      <c r="A732" s="1" t="s">
        <v>1453</v>
      </c>
      <c r="B732" s="1" t="s">
        <v>1454</v>
      </c>
      <c r="C732" s="1" t="s">
        <v>2748</v>
      </c>
      <c r="D732" s="1" t="s">
        <v>2800</v>
      </c>
      <c r="E732">
        <v>99</v>
      </c>
      <c r="F732">
        <v>0</v>
      </c>
      <c r="G732">
        <v>4.3</v>
      </c>
      <c r="H732">
        <v>388</v>
      </c>
    </row>
    <row r="733" spans="1:8" x14ac:dyDescent="0.25">
      <c r="A733" s="1" t="s">
        <v>1455</v>
      </c>
      <c r="B733" s="1" t="s">
        <v>1456</v>
      </c>
      <c r="C733" s="1" t="s">
        <v>2694</v>
      </c>
      <c r="D733" s="1" t="s">
        <v>2766</v>
      </c>
      <c r="E733">
        <v>2999</v>
      </c>
      <c r="F733">
        <v>0.5</v>
      </c>
      <c r="G733">
        <v>4.5</v>
      </c>
      <c r="H733">
        <v>8656</v>
      </c>
    </row>
    <row r="734" spans="1:8" x14ac:dyDescent="0.25">
      <c r="A734" s="1" t="s">
        <v>1457</v>
      </c>
      <c r="B734" s="1" t="s">
        <v>1458</v>
      </c>
      <c r="C734" s="1" t="s">
        <v>2694</v>
      </c>
      <c r="D734" s="1" t="s">
        <v>2801</v>
      </c>
      <c r="E734">
        <v>3100</v>
      </c>
      <c r="F734">
        <v>0.41</v>
      </c>
      <c r="G734">
        <v>4.5</v>
      </c>
      <c r="H734">
        <v>92925</v>
      </c>
    </row>
    <row r="735" spans="1:8" x14ac:dyDescent="0.25">
      <c r="A735" s="1" t="s">
        <v>1459</v>
      </c>
      <c r="B735" s="1" t="s">
        <v>1460</v>
      </c>
      <c r="C735" s="1" t="s">
        <v>2748</v>
      </c>
      <c r="D735" s="1" t="s">
        <v>2787</v>
      </c>
      <c r="E735">
        <v>75</v>
      </c>
      <c r="F735">
        <v>0.11</v>
      </c>
      <c r="G735">
        <v>4.0999999999999996</v>
      </c>
      <c r="H735">
        <v>1269</v>
      </c>
    </row>
    <row r="736" spans="1:8" x14ac:dyDescent="0.25">
      <c r="A736" s="1" t="s">
        <v>1461</v>
      </c>
      <c r="B736" s="1" t="s">
        <v>1462</v>
      </c>
      <c r="C736" s="1" t="s">
        <v>2694</v>
      </c>
      <c r="D736" s="1" t="s">
        <v>2742</v>
      </c>
      <c r="E736">
        <v>2699</v>
      </c>
      <c r="F736">
        <v>0.3</v>
      </c>
      <c r="G736">
        <v>4.3</v>
      </c>
      <c r="H736">
        <v>17394</v>
      </c>
    </row>
    <row r="737" spans="1:8" x14ac:dyDescent="0.25">
      <c r="A737" s="1" t="s">
        <v>1463</v>
      </c>
      <c r="B737" s="1" t="s">
        <v>1464</v>
      </c>
      <c r="C737" s="1" t="s">
        <v>2697</v>
      </c>
      <c r="D737" s="1" t="s">
        <v>2720</v>
      </c>
      <c r="E737">
        <v>1499</v>
      </c>
      <c r="F737">
        <v>0.67</v>
      </c>
      <c r="G737">
        <v>3.6</v>
      </c>
      <c r="H737">
        <v>9169</v>
      </c>
    </row>
    <row r="738" spans="1:8" x14ac:dyDescent="0.25">
      <c r="A738" s="1" t="s">
        <v>1465</v>
      </c>
      <c r="B738" s="1" t="s">
        <v>1466</v>
      </c>
      <c r="C738" s="1" t="s">
        <v>2694</v>
      </c>
      <c r="D738" s="1" t="s">
        <v>2763</v>
      </c>
      <c r="E738">
        <v>999</v>
      </c>
      <c r="F738">
        <v>0.5</v>
      </c>
      <c r="G738">
        <v>4.4000000000000004</v>
      </c>
      <c r="H738">
        <v>1030</v>
      </c>
    </row>
    <row r="739" spans="1:8" x14ac:dyDescent="0.25">
      <c r="A739" s="1" t="s">
        <v>1467</v>
      </c>
      <c r="B739" s="1" t="s">
        <v>1468</v>
      </c>
      <c r="C739" s="1" t="s">
        <v>2694</v>
      </c>
      <c r="D739" s="1" t="s">
        <v>2753</v>
      </c>
      <c r="E739">
        <v>7999</v>
      </c>
      <c r="F739">
        <v>0.28000000000000003</v>
      </c>
      <c r="G739">
        <v>4.5</v>
      </c>
      <c r="H739">
        <v>50273</v>
      </c>
    </row>
    <row r="740" spans="1:8" x14ac:dyDescent="0.25">
      <c r="A740" s="1" t="s">
        <v>1469</v>
      </c>
      <c r="B740" s="1" t="s">
        <v>1470</v>
      </c>
      <c r="C740" s="1" t="s">
        <v>2697</v>
      </c>
      <c r="D740" s="1" t="s">
        <v>2802</v>
      </c>
      <c r="E740">
        <v>799</v>
      </c>
      <c r="F740">
        <v>0.38</v>
      </c>
      <c r="G740">
        <v>3.9</v>
      </c>
      <c r="H740">
        <v>6742</v>
      </c>
    </row>
    <row r="741" spans="1:8" x14ac:dyDescent="0.25">
      <c r="A741" s="1" t="s">
        <v>1471</v>
      </c>
      <c r="B741" s="1" t="s">
        <v>1472</v>
      </c>
      <c r="C741" s="1" t="s">
        <v>2694</v>
      </c>
      <c r="D741" s="1" t="s">
        <v>2741</v>
      </c>
      <c r="E741">
        <v>600</v>
      </c>
      <c r="F741">
        <v>0.59</v>
      </c>
      <c r="G741">
        <v>4</v>
      </c>
      <c r="H741">
        <v>1208</v>
      </c>
    </row>
    <row r="742" spans="1:8" x14ac:dyDescent="0.25">
      <c r="A742" s="1" t="s">
        <v>1473</v>
      </c>
      <c r="B742" s="1" t="s">
        <v>1474</v>
      </c>
      <c r="C742" s="1" t="s">
        <v>2694</v>
      </c>
      <c r="D742" s="1" t="s">
        <v>2753</v>
      </c>
      <c r="E742">
        <v>5734</v>
      </c>
      <c r="F742">
        <v>0.22</v>
      </c>
      <c r="G742">
        <v>4.4000000000000004</v>
      </c>
      <c r="H742">
        <v>25006</v>
      </c>
    </row>
    <row r="743" spans="1:8" x14ac:dyDescent="0.25">
      <c r="A743" s="1" t="s">
        <v>1475</v>
      </c>
      <c r="B743" s="1" t="s">
        <v>1476</v>
      </c>
      <c r="C743" s="1" t="s">
        <v>2694</v>
      </c>
      <c r="D743" s="1" t="s">
        <v>2779</v>
      </c>
      <c r="E743">
        <v>550</v>
      </c>
      <c r="F743">
        <v>0.46</v>
      </c>
      <c r="G743">
        <v>4.5999999999999996</v>
      </c>
      <c r="H743">
        <v>33434</v>
      </c>
    </row>
    <row r="744" spans="1:8" x14ac:dyDescent="0.25">
      <c r="A744" s="1" t="s">
        <v>1477</v>
      </c>
      <c r="B744" s="1" t="s">
        <v>1478</v>
      </c>
      <c r="C744" s="1" t="s">
        <v>2694</v>
      </c>
      <c r="D744" s="1" t="s">
        <v>2740</v>
      </c>
      <c r="E744">
        <v>1390</v>
      </c>
      <c r="F744">
        <v>0.55000000000000004</v>
      </c>
      <c r="G744">
        <v>4.4000000000000004</v>
      </c>
      <c r="H744">
        <v>6301</v>
      </c>
    </row>
    <row r="745" spans="1:8" x14ac:dyDescent="0.25">
      <c r="A745" s="1" t="s">
        <v>1479</v>
      </c>
      <c r="B745" s="1" t="s">
        <v>1480</v>
      </c>
      <c r="C745" s="1" t="s">
        <v>2694</v>
      </c>
      <c r="D745" s="1" t="s">
        <v>2744</v>
      </c>
      <c r="E745">
        <v>3295</v>
      </c>
      <c r="F745">
        <v>0.21</v>
      </c>
      <c r="G745">
        <v>4.4000000000000004</v>
      </c>
      <c r="H745">
        <v>22618</v>
      </c>
    </row>
    <row r="746" spans="1:8" x14ac:dyDescent="0.25">
      <c r="A746" s="1" t="s">
        <v>1481</v>
      </c>
      <c r="B746" s="1" t="s">
        <v>1482</v>
      </c>
      <c r="C746" s="1" t="s">
        <v>2694</v>
      </c>
      <c r="D746" s="1" t="s">
        <v>2766</v>
      </c>
      <c r="E746">
        <v>2911</v>
      </c>
      <c r="F746">
        <v>0.38</v>
      </c>
      <c r="G746">
        <v>4.3</v>
      </c>
      <c r="H746">
        <v>20342</v>
      </c>
    </row>
    <row r="747" spans="1:8" x14ac:dyDescent="0.25">
      <c r="A747" s="1" t="s">
        <v>1483</v>
      </c>
      <c r="B747" s="1" t="s">
        <v>1484</v>
      </c>
      <c r="C747" s="1" t="s">
        <v>2748</v>
      </c>
      <c r="D747" s="1" t="s">
        <v>2774</v>
      </c>
      <c r="E747">
        <v>175</v>
      </c>
      <c r="F747">
        <v>0.49</v>
      </c>
      <c r="G747">
        <v>4.4000000000000004</v>
      </c>
      <c r="H747">
        <v>7429</v>
      </c>
    </row>
    <row r="748" spans="1:8" x14ac:dyDescent="0.25">
      <c r="A748" s="1" t="s">
        <v>1485</v>
      </c>
      <c r="B748" s="1" t="s">
        <v>1486</v>
      </c>
      <c r="C748" s="1" t="s">
        <v>2694</v>
      </c>
      <c r="D748" s="1" t="s">
        <v>2742</v>
      </c>
      <c r="E748">
        <v>599</v>
      </c>
      <c r="F748">
        <v>0</v>
      </c>
      <c r="G748">
        <v>4</v>
      </c>
      <c r="H748">
        <v>26423</v>
      </c>
    </row>
    <row r="749" spans="1:8" x14ac:dyDescent="0.25">
      <c r="A749" s="1" t="s">
        <v>1487</v>
      </c>
      <c r="B749" s="1" t="s">
        <v>1488</v>
      </c>
      <c r="C749" s="1" t="s">
        <v>2697</v>
      </c>
      <c r="D749" s="1" t="s">
        <v>2715</v>
      </c>
      <c r="E749">
        <v>7999</v>
      </c>
      <c r="F749">
        <v>0.75</v>
      </c>
      <c r="G749">
        <v>4.2</v>
      </c>
      <c r="H749">
        <v>31305</v>
      </c>
    </row>
    <row r="750" spans="1:8" x14ac:dyDescent="0.25">
      <c r="A750" s="1" t="s">
        <v>1489</v>
      </c>
      <c r="B750" s="1" t="s">
        <v>1490</v>
      </c>
      <c r="C750" s="1" t="s">
        <v>2694</v>
      </c>
      <c r="D750" s="1" t="s">
        <v>2803</v>
      </c>
      <c r="E750">
        <v>3250</v>
      </c>
      <c r="F750">
        <v>0.35</v>
      </c>
      <c r="G750">
        <v>3.8</v>
      </c>
      <c r="H750">
        <v>11213</v>
      </c>
    </row>
    <row r="751" spans="1:8" x14ac:dyDescent="0.25">
      <c r="A751" s="1" t="s">
        <v>1491</v>
      </c>
      <c r="B751" s="1" t="s">
        <v>1492</v>
      </c>
      <c r="C751" s="1" t="s">
        <v>2694</v>
      </c>
      <c r="D751" s="1" t="s">
        <v>2804</v>
      </c>
      <c r="E751">
        <v>499</v>
      </c>
      <c r="F751">
        <v>0.64</v>
      </c>
      <c r="G751">
        <v>4.0999999999999996</v>
      </c>
      <c r="H751">
        <v>10174</v>
      </c>
    </row>
    <row r="752" spans="1:8" x14ac:dyDescent="0.25">
      <c r="A752" s="1" t="s">
        <v>1493</v>
      </c>
      <c r="B752" s="1" t="s">
        <v>1494</v>
      </c>
      <c r="C752" s="1" t="s">
        <v>2694</v>
      </c>
      <c r="D752" s="1" t="s">
        <v>2752</v>
      </c>
      <c r="E752">
        <v>2295</v>
      </c>
      <c r="F752">
        <v>0.41</v>
      </c>
      <c r="G752">
        <v>4.2</v>
      </c>
      <c r="H752">
        <v>17413</v>
      </c>
    </row>
    <row r="753" spans="1:8" x14ac:dyDescent="0.25">
      <c r="A753" s="1" t="s">
        <v>1495</v>
      </c>
      <c r="B753" s="1" t="s">
        <v>1496</v>
      </c>
      <c r="C753" s="1" t="s">
        <v>2697</v>
      </c>
      <c r="D753" s="1" t="s">
        <v>2758</v>
      </c>
      <c r="E753">
        <v>995</v>
      </c>
      <c r="F753">
        <v>0.65</v>
      </c>
      <c r="G753">
        <v>4.2</v>
      </c>
      <c r="H753">
        <v>6676</v>
      </c>
    </row>
    <row r="754" spans="1:8" x14ac:dyDescent="0.25">
      <c r="A754" s="1" t="s">
        <v>1497</v>
      </c>
      <c r="B754" s="1" t="s">
        <v>1498</v>
      </c>
      <c r="C754" s="1" t="s">
        <v>2694</v>
      </c>
      <c r="D754" s="1" t="s">
        <v>2789</v>
      </c>
      <c r="E754">
        <v>499</v>
      </c>
      <c r="F754">
        <v>0.42</v>
      </c>
      <c r="G754">
        <v>4.4000000000000004</v>
      </c>
      <c r="H754">
        <v>8076</v>
      </c>
    </row>
    <row r="755" spans="1:8" x14ac:dyDescent="0.25">
      <c r="A755" s="1" t="s">
        <v>1499</v>
      </c>
      <c r="B755" s="1" t="s">
        <v>1500</v>
      </c>
      <c r="C755" s="1" t="s">
        <v>2694</v>
      </c>
      <c r="D755" s="1" t="s">
        <v>2739</v>
      </c>
      <c r="E755">
        <v>450</v>
      </c>
      <c r="F755">
        <v>0.22</v>
      </c>
      <c r="G755">
        <v>4.0999999999999996</v>
      </c>
      <c r="H755">
        <v>18656</v>
      </c>
    </row>
    <row r="756" spans="1:8" x14ac:dyDescent="0.25">
      <c r="A756" s="1" t="s">
        <v>1501</v>
      </c>
      <c r="B756" s="1" t="s">
        <v>1502</v>
      </c>
      <c r="C756" s="1" t="s">
        <v>2697</v>
      </c>
      <c r="D756" s="1" t="s">
        <v>2747</v>
      </c>
      <c r="E756">
        <v>1109</v>
      </c>
      <c r="F756">
        <v>0.21</v>
      </c>
      <c r="G756">
        <v>4.4000000000000004</v>
      </c>
      <c r="H756">
        <v>31599</v>
      </c>
    </row>
    <row r="757" spans="1:8" x14ac:dyDescent="0.25">
      <c r="A757" s="1" t="s">
        <v>1503</v>
      </c>
      <c r="B757" s="1" t="s">
        <v>1504</v>
      </c>
      <c r="C757" s="1" t="s">
        <v>2697</v>
      </c>
      <c r="D757" s="1" t="s">
        <v>2770</v>
      </c>
      <c r="E757">
        <v>250</v>
      </c>
      <c r="F757">
        <v>0</v>
      </c>
      <c r="G757">
        <v>3.9</v>
      </c>
      <c r="H757">
        <v>13971</v>
      </c>
    </row>
    <row r="758" spans="1:8" x14ac:dyDescent="0.25">
      <c r="A758" s="1" t="s">
        <v>1505</v>
      </c>
      <c r="B758" s="1" t="s">
        <v>1506</v>
      </c>
      <c r="C758" s="1" t="s">
        <v>2697</v>
      </c>
      <c r="D758" s="1" t="s">
        <v>2720</v>
      </c>
      <c r="E758">
        <v>499</v>
      </c>
      <c r="F758">
        <v>0.6</v>
      </c>
      <c r="G758">
        <v>3.6</v>
      </c>
      <c r="H758">
        <v>2492</v>
      </c>
    </row>
    <row r="759" spans="1:8" x14ac:dyDescent="0.25">
      <c r="A759" s="1" t="s">
        <v>1507</v>
      </c>
      <c r="B759" s="1" t="s">
        <v>1508</v>
      </c>
      <c r="C759" s="1" t="s">
        <v>2694</v>
      </c>
      <c r="D759" s="1" t="s">
        <v>2804</v>
      </c>
      <c r="E759">
        <v>999</v>
      </c>
      <c r="F759">
        <v>0.85</v>
      </c>
      <c r="G759">
        <v>3.5</v>
      </c>
      <c r="H759">
        <v>2523</v>
      </c>
    </row>
    <row r="760" spans="1:8" x14ac:dyDescent="0.25">
      <c r="A760" s="1" t="s">
        <v>1509</v>
      </c>
      <c r="B760" s="1" t="s">
        <v>1510</v>
      </c>
      <c r="C760" s="1" t="s">
        <v>2694</v>
      </c>
      <c r="D760" s="1" t="s">
        <v>2741</v>
      </c>
      <c r="E760">
        <v>1499</v>
      </c>
      <c r="F760">
        <v>0.69</v>
      </c>
      <c r="G760">
        <v>4.0999999999999996</v>
      </c>
      <c r="H760">
        <v>352</v>
      </c>
    </row>
    <row r="761" spans="1:8" x14ac:dyDescent="0.25">
      <c r="A761" s="1" t="s">
        <v>1511</v>
      </c>
      <c r="B761" s="1" t="s">
        <v>1512</v>
      </c>
      <c r="C761" s="1" t="s">
        <v>2694</v>
      </c>
      <c r="D761" s="1" t="s">
        <v>2781</v>
      </c>
      <c r="E761">
        <v>1929</v>
      </c>
      <c r="F761">
        <v>0.38</v>
      </c>
      <c r="G761">
        <v>4.0999999999999996</v>
      </c>
      <c r="H761">
        <v>1662</v>
      </c>
    </row>
    <row r="762" spans="1:8" x14ac:dyDescent="0.25">
      <c r="A762" s="1" t="s">
        <v>1513</v>
      </c>
      <c r="B762" s="1" t="s">
        <v>1514</v>
      </c>
      <c r="C762" s="1" t="s">
        <v>2694</v>
      </c>
      <c r="D762" s="1" t="s">
        <v>2805</v>
      </c>
      <c r="E762">
        <v>1499</v>
      </c>
      <c r="F762">
        <v>0.43</v>
      </c>
      <c r="G762">
        <v>4</v>
      </c>
      <c r="H762">
        <v>7352</v>
      </c>
    </row>
    <row r="763" spans="1:8" x14ac:dyDescent="0.25">
      <c r="A763" s="1" t="s">
        <v>1515</v>
      </c>
      <c r="B763" s="1" t="s">
        <v>1516</v>
      </c>
      <c r="C763" s="1" t="s">
        <v>2694</v>
      </c>
      <c r="D763" s="1" t="s">
        <v>2740</v>
      </c>
      <c r="E763">
        <v>399</v>
      </c>
      <c r="F763">
        <v>0.18</v>
      </c>
      <c r="G763">
        <v>4.0999999999999996</v>
      </c>
      <c r="H763">
        <v>3441</v>
      </c>
    </row>
    <row r="764" spans="1:8" x14ac:dyDescent="0.25">
      <c r="A764" s="1" t="s">
        <v>1517</v>
      </c>
      <c r="B764" s="1" t="s">
        <v>1518</v>
      </c>
      <c r="C764" s="1" t="s">
        <v>2694</v>
      </c>
      <c r="D764" s="1" t="s">
        <v>2742</v>
      </c>
      <c r="E764">
        <v>699</v>
      </c>
      <c r="F764">
        <v>0.62</v>
      </c>
      <c r="G764">
        <v>4</v>
      </c>
      <c r="H764">
        <v>93</v>
      </c>
    </row>
    <row r="765" spans="1:8" x14ac:dyDescent="0.25">
      <c r="A765" s="1" t="s">
        <v>1519</v>
      </c>
      <c r="B765" s="1" t="s">
        <v>1520</v>
      </c>
      <c r="C765" s="1" t="s">
        <v>2697</v>
      </c>
      <c r="D765" s="1" t="s">
        <v>2806</v>
      </c>
      <c r="E765">
        <v>400</v>
      </c>
      <c r="F765">
        <v>0.25</v>
      </c>
      <c r="G765">
        <v>3.8</v>
      </c>
      <c r="H765">
        <v>40895</v>
      </c>
    </row>
    <row r="766" spans="1:8" x14ac:dyDescent="0.25">
      <c r="A766" s="1" t="s">
        <v>1521</v>
      </c>
      <c r="B766" s="1" t="s">
        <v>1522</v>
      </c>
      <c r="C766" s="1" t="s">
        <v>2694</v>
      </c>
      <c r="D766" s="1" t="s">
        <v>2792</v>
      </c>
      <c r="E766">
        <v>1499</v>
      </c>
      <c r="F766">
        <v>0.63</v>
      </c>
      <c r="G766">
        <v>4.3</v>
      </c>
      <c r="H766">
        <v>11006</v>
      </c>
    </row>
    <row r="767" spans="1:8" x14ac:dyDescent="0.25">
      <c r="A767" s="1" t="s">
        <v>1523</v>
      </c>
      <c r="B767" s="1" t="s">
        <v>1524</v>
      </c>
      <c r="C767" s="1" t="s">
        <v>2748</v>
      </c>
      <c r="D767" s="1" t="s">
        <v>2769</v>
      </c>
      <c r="E767">
        <v>120</v>
      </c>
      <c r="F767">
        <v>0.05</v>
      </c>
      <c r="G767">
        <v>4.2</v>
      </c>
      <c r="H767">
        <v>8938</v>
      </c>
    </row>
    <row r="768" spans="1:8" x14ac:dyDescent="0.25">
      <c r="A768" s="1" t="s">
        <v>1525</v>
      </c>
      <c r="B768" s="1" t="s">
        <v>1526</v>
      </c>
      <c r="C768" s="1" t="s">
        <v>2748</v>
      </c>
      <c r="D768" s="1" t="s">
        <v>2807</v>
      </c>
      <c r="E768">
        <v>120</v>
      </c>
      <c r="F768">
        <v>0</v>
      </c>
      <c r="G768">
        <v>4.0999999999999996</v>
      </c>
      <c r="H768">
        <v>4308</v>
      </c>
    </row>
    <row r="769" spans="1:8" x14ac:dyDescent="0.25">
      <c r="A769" s="1" t="s">
        <v>1527</v>
      </c>
      <c r="B769" s="1" t="s">
        <v>1528</v>
      </c>
      <c r="C769" s="1" t="s">
        <v>2694</v>
      </c>
      <c r="D769" s="1" t="s">
        <v>2740</v>
      </c>
      <c r="E769">
        <v>2295</v>
      </c>
      <c r="F769">
        <v>0.35</v>
      </c>
      <c r="G769">
        <v>4.5999999999999996</v>
      </c>
      <c r="H769">
        <v>10652</v>
      </c>
    </row>
    <row r="770" spans="1:8" x14ac:dyDescent="0.25">
      <c r="A770" s="1" t="s">
        <v>1529</v>
      </c>
      <c r="B770" s="1" t="s">
        <v>1530</v>
      </c>
      <c r="C770" s="1" t="s">
        <v>2750</v>
      </c>
      <c r="D770" s="1" t="s">
        <v>2808</v>
      </c>
      <c r="E770">
        <v>99</v>
      </c>
      <c r="F770">
        <v>0</v>
      </c>
      <c r="G770">
        <v>4.3</v>
      </c>
      <c r="H770">
        <v>5036</v>
      </c>
    </row>
    <row r="771" spans="1:8" x14ac:dyDescent="0.25">
      <c r="A771" s="1" t="s">
        <v>1531</v>
      </c>
      <c r="B771" s="1" t="s">
        <v>1532</v>
      </c>
      <c r="C771" s="1" t="s">
        <v>2694</v>
      </c>
      <c r="D771" s="1" t="s">
        <v>2740</v>
      </c>
      <c r="E771">
        <v>249</v>
      </c>
      <c r="F771">
        <v>0.4</v>
      </c>
      <c r="G771">
        <v>4</v>
      </c>
      <c r="H771">
        <v>5057</v>
      </c>
    </row>
    <row r="772" spans="1:8" x14ac:dyDescent="0.25">
      <c r="A772" s="1" t="s">
        <v>1533</v>
      </c>
      <c r="B772" s="1" t="s">
        <v>1534</v>
      </c>
      <c r="C772" s="1" t="s">
        <v>2694</v>
      </c>
      <c r="D772" s="1" t="s">
        <v>2761</v>
      </c>
      <c r="E772">
        <v>2799</v>
      </c>
      <c r="F772">
        <v>0.79</v>
      </c>
      <c r="G772">
        <v>4.2</v>
      </c>
      <c r="H772">
        <v>8537</v>
      </c>
    </row>
    <row r="773" spans="1:8" x14ac:dyDescent="0.25">
      <c r="A773" s="1" t="s">
        <v>1535</v>
      </c>
      <c r="B773" s="1" t="s">
        <v>1536</v>
      </c>
      <c r="C773" s="1" t="s">
        <v>2748</v>
      </c>
      <c r="D773" s="1" t="s">
        <v>2788</v>
      </c>
      <c r="E773">
        <v>210</v>
      </c>
      <c r="F773">
        <v>0.15</v>
      </c>
      <c r="G773">
        <v>4.3</v>
      </c>
      <c r="H773">
        <v>2450</v>
      </c>
    </row>
    <row r="774" spans="1:8" x14ac:dyDescent="0.25">
      <c r="A774" s="1" t="s">
        <v>1537</v>
      </c>
      <c r="B774" s="1" t="s">
        <v>1538</v>
      </c>
      <c r="C774" s="1" t="s">
        <v>2697</v>
      </c>
      <c r="D774" s="1" t="s">
        <v>2720</v>
      </c>
      <c r="E774">
        <v>3490</v>
      </c>
      <c r="F774">
        <v>0.54</v>
      </c>
      <c r="G774">
        <v>3.7</v>
      </c>
      <c r="H774">
        <v>676</v>
      </c>
    </row>
    <row r="775" spans="1:8" x14ac:dyDescent="0.25">
      <c r="A775" s="1" t="s">
        <v>1539</v>
      </c>
      <c r="B775" s="1" t="s">
        <v>1540</v>
      </c>
      <c r="C775" s="1" t="s">
        <v>2697</v>
      </c>
      <c r="D775" s="1" t="s">
        <v>2720</v>
      </c>
      <c r="E775">
        <v>1299</v>
      </c>
      <c r="F775">
        <v>0.62</v>
      </c>
      <c r="G775">
        <v>3.9</v>
      </c>
      <c r="H775">
        <v>1173</v>
      </c>
    </row>
    <row r="776" spans="1:8" x14ac:dyDescent="0.25">
      <c r="A776" s="1" t="s">
        <v>1541</v>
      </c>
      <c r="B776" s="1" t="s">
        <v>1542</v>
      </c>
      <c r="C776" s="1" t="s">
        <v>2694</v>
      </c>
      <c r="D776" s="1" t="s">
        <v>2763</v>
      </c>
      <c r="E776">
        <v>499</v>
      </c>
      <c r="F776">
        <v>0.6</v>
      </c>
      <c r="G776">
        <v>4.3</v>
      </c>
      <c r="H776">
        <v>9998</v>
      </c>
    </row>
    <row r="777" spans="1:8" x14ac:dyDescent="0.25">
      <c r="A777" s="1" t="s">
        <v>1543</v>
      </c>
      <c r="B777" s="1" t="s">
        <v>1544</v>
      </c>
      <c r="C777" s="1" t="s">
        <v>2697</v>
      </c>
      <c r="D777" s="1" t="s">
        <v>2715</v>
      </c>
      <c r="E777">
        <v>5999</v>
      </c>
      <c r="F777">
        <v>0.57999999999999996</v>
      </c>
      <c r="G777">
        <v>4.0999999999999996</v>
      </c>
      <c r="H777">
        <v>5852</v>
      </c>
    </row>
    <row r="778" spans="1:8" x14ac:dyDescent="0.25">
      <c r="A778" s="1" t="s">
        <v>1545</v>
      </c>
      <c r="B778" s="1" t="s">
        <v>1546</v>
      </c>
      <c r="C778" s="1" t="s">
        <v>2694</v>
      </c>
      <c r="D778" s="1" t="s">
        <v>2809</v>
      </c>
      <c r="E778">
        <v>999</v>
      </c>
      <c r="F778">
        <v>0.8</v>
      </c>
      <c r="G778">
        <v>4.2</v>
      </c>
      <c r="H778">
        <v>362</v>
      </c>
    </row>
    <row r="779" spans="1:8" x14ac:dyDescent="0.25">
      <c r="A779" s="1" t="s">
        <v>1547</v>
      </c>
      <c r="B779" s="1" t="s">
        <v>1548</v>
      </c>
      <c r="C779" s="1" t="s">
        <v>2697</v>
      </c>
      <c r="D779" s="1" t="s">
        <v>2718</v>
      </c>
      <c r="E779">
        <v>1800</v>
      </c>
      <c r="F779">
        <v>0.48</v>
      </c>
      <c r="G779">
        <v>4.5</v>
      </c>
      <c r="H779">
        <v>205052</v>
      </c>
    </row>
    <row r="780" spans="1:8" x14ac:dyDescent="0.25">
      <c r="A780" s="1" t="s">
        <v>1549</v>
      </c>
      <c r="B780" s="1" t="s">
        <v>1550</v>
      </c>
      <c r="C780" s="1" t="s">
        <v>2697</v>
      </c>
      <c r="D780" s="1" t="s">
        <v>2715</v>
      </c>
      <c r="E780">
        <v>9999</v>
      </c>
      <c r="F780">
        <v>0.75</v>
      </c>
      <c r="G780">
        <v>4</v>
      </c>
      <c r="H780">
        <v>9090</v>
      </c>
    </row>
    <row r="781" spans="1:8" x14ac:dyDescent="0.25">
      <c r="A781" s="1" t="s">
        <v>1551</v>
      </c>
      <c r="B781" s="1" t="s">
        <v>1552</v>
      </c>
      <c r="C781" s="1" t="s">
        <v>2694</v>
      </c>
      <c r="D781" s="1" t="s">
        <v>2740</v>
      </c>
      <c r="E781">
        <v>2890</v>
      </c>
      <c r="F781">
        <v>0.5</v>
      </c>
      <c r="G781">
        <v>4.5</v>
      </c>
      <c r="H781">
        <v>4099</v>
      </c>
    </row>
    <row r="782" spans="1:8" x14ac:dyDescent="0.25">
      <c r="A782" s="1" t="s">
        <v>1553</v>
      </c>
      <c r="B782" s="1" t="s">
        <v>1554</v>
      </c>
      <c r="C782" s="1" t="s">
        <v>2697</v>
      </c>
      <c r="D782" s="1" t="s">
        <v>2720</v>
      </c>
      <c r="E782">
        <v>5999</v>
      </c>
      <c r="F782">
        <v>0.82</v>
      </c>
      <c r="G782">
        <v>3.5</v>
      </c>
      <c r="H782">
        <v>12966</v>
      </c>
    </row>
    <row r="783" spans="1:8" x14ac:dyDescent="0.25">
      <c r="A783" s="1" t="s">
        <v>1555</v>
      </c>
      <c r="B783" s="1" t="s">
        <v>1556</v>
      </c>
      <c r="C783" s="1" t="s">
        <v>2748</v>
      </c>
      <c r="D783" s="1" t="s">
        <v>2769</v>
      </c>
      <c r="E783">
        <v>160</v>
      </c>
      <c r="F783">
        <v>0.02</v>
      </c>
      <c r="G783">
        <v>4.5</v>
      </c>
      <c r="H783">
        <v>4428</v>
      </c>
    </row>
    <row r="784" spans="1:8" x14ac:dyDescent="0.25">
      <c r="A784" s="1" t="s">
        <v>1557</v>
      </c>
      <c r="B784" s="1" t="s">
        <v>1558</v>
      </c>
      <c r="C784" s="1" t="s">
        <v>2694</v>
      </c>
      <c r="D784" s="1" t="s">
        <v>2760</v>
      </c>
      <c r="E784">
        <v>999</v>
      </c>
      <c r="F784">
        <v>0.88</v>
      </c>
      <c r="G784">
        <v>3.3</v>
      </c>
      <c r="H784">
        <v>5692</v>
      </c>
    </row>
    <row r="785" spans="1:8" x14ac:dyDescent="0.25">
      <c r="A785" s="1" t="s">
        <v>1559</v>
      </c>
      <c r="B785" s="1" t="s">
        <v>1560</v>
      </c>
      <c r="C785" s="1" t="s">
        <v>2694</v>
      </c>
      <c r="D785" s="1" t="s">
        <v>2741</v>
      </c>
      <c r="E785">
        <v>499</v>
      </c>
      <c r="F785">
        <v>0.65</v>
      </c>
      <c r="G785">
        <v>4.0999999999999996</v>
      </c>
      <c r="H785">
        <v>21</v>
      </c>
    </row>
    <row r="786" spans="1:8" x14ac:dyDescent="0.25">
      <c r="A786" s="1" t="s">
        <v>1561</v>
      </c>
      <c r="B786" s="1" t="s">
        <v>1562</v>
      </c>
      <c r="C786" s="1" t="s">
        <v>2697</v>
      </c>
      <c r="D786" s="1" t="s">
        <v>2778</v>
      </c>
      <c r="E786">
        <v>4700</v>
      </c>
      <c r="F786">
        <v>0.56999999999999995</v>
      </c>
      <c r="G786">
        <v>3.8</v>
      </c>
      <c r="H786">
        <v>1880</v>
      </c>
    </row>
    <row r="787" spans="1:8" x14ac:dyDescent="0.25">
      <c r="A787" s="1" t="s">
        <v>1563</v>
      </c>
      <c r="B787" s="1" t="s">
        <v>1564</v>
      </c>
      <c r="C787" s="1" t="s">
        <v>2694</v>
      </c>
      <c r="D787" s="1" t="s">
        <v>2810</v>
      </c>
      <c r="E787">
        <v>4332.96</v>
      </c>
      <c r="F787">
        <v>0.08</v>
      </c>
      <c r="G787">
        <v>3.5</v>
      </c>
      <c r="H787">
        <v>21762</v>
      </c>
    </row>
    <row r="788" spans="1:8" x14ac:dyDescent="0.25">
      <c r="A788" s="1" t="s">
        <v>1565</v>
      </c>
      <c r="B788" s="1" t="s">
        <v>1566</v>
      </c>
      <c r="C788" s="1" t="s">
        <v>2694</v>
      </c>
      <c r="D788" s="1" t="s">
        <v>2766</v>
      </c>
      <c r="E788">
        <v>1800</v>
      </c>
      <c r="F788">
        <v>0.5</v>
      </c>
      <c r="G788">
        <v>4.0999999999999996</v>
      </c>
      <c r="H788">
        <v>22375</v>
      </c>
    </row>
    <row r="789" spans="1:8" x14ac:dyDescent="0.25">
      <c r="A789" s="1" t="s">
        <v>1567</v>
      </c>
      <c r="B789" s="1" t="s">
        <v>1568</v>
      </c>
      <c r="C789" s="1" t="s">
        <v>2694</v>
      </c>
      <c r="D789" s="1" t="s">
        <v>2763</v>
      </c>
      <c r="E789">
        <v>990</v>
      </c>
      <c r="F789">
        <v>0.7</v>
      </c>
      <c r="G789">
        <v>4.5</v>
      </c>
      <c r="H789">
        <v>2453</v>
      </c>
    </row>
    <row r="790" spans="1:8" x14ac:dyDescent="0.25">
      <c r="A790" s="1" t="s">
        <v>1569</v>
      </c>
      <c r="B790" s="1" t="s">
        <v>1570</v>
      </c>
      <c r="C790" s="1" t="s">
        <v>2694</v>
      </c>
      <c r="D790" s="1" t="s">
        <v>2741</v>
      </c>
      <c r="E790">
        <v>4699</v>
      </c>
      <c r="F790">
        <v>0.3</v>
      </c>
      <c r="G790">
        <v>4.4000000000000004</v>
      </c>
      <c r="H790">
        <v>13544</v>
      </c>
    </row>
    <row r="791" spans="1:8" x14ac:dyDescent="0.25">
      <c r="A791" s="1" t="s">
        <v>1571</v>
      </c>
      <c r="B791" s="1" t="s">
        <v>1572</v>
      </c>
      <c r="C791" s="1" t="s">
        <v>2694</v>
      </c>
      <c r="D791" s="1" t="s">
        <v>2795</v>
      </c>
      <c r="E791">
        <v>5490</v>
      </c>
      <c r="F791">
        <v>0.66</v>
      </c>
      <c r="G791">
        <v>4.0999999999999996</v>
      </c>
      <c r="H791">
        <v>10976</v>
      </c>
    </row>
    <row r="792" spans="1:8" x14ac:dyDescent="0.25">
      <c r="A792" s="1" t="s">
        <v>1573</v>
      </c>
      <c r="B792" s="1" t="s">
        <v>1574</v>
      </c>
      <c r="C792" s="1" t="s">
        <v>2748</v>
      </c>
      <c r="D792" s="1" t="s">
        <v>2786</v>
      </c>
      <c r="E792">
        <v>100</v>
      </c>
      <c r="F792">
        <v>0.1</v>
      </c>
      <c r="G792">
        <v>4.3</v>
      </c>
      <c r="H792">
        <v>3061</v>
      </c>
    </row>
    <row r="793" spans="1:8" x14ac:dyDescent="0.25">
      <c r="A793" s="1" t="s">
        <v>1575</v>
      </c>
      <c r="B793" s="1" t="s">
        <v>1576</v>
      </c>
      <c r="C793" s="1" t="s">
        <v>2697</v>
      </c>
      <c r="D793" s="1" t="s">
        <v>2720</v>
      </c>
      <c r="E793">
        <v>2790</v>
      </c>
      <c r="F793">
        <v>0.43</v>
      </c>
      <c r="G793">
        <v>3.6</v>
      </c>
      <c r="H793">
        <v>2272</v>
      </c>
    </row>
    <row r="794" spans="1:8" x14ac:dyDescent="0.25">
      <c r="A794" s="1" t="s">
        <v>1577</v>
      </c>
      <c r="B794" s="1" t="s">
        <v>1578</v>
      </c>
      <c r="C794" s="1" t="s">
        <v>2694</v>
      </c>
      <c r="D794" s="1" t="s">
        <v>2796</v>
      </c>
      <c r="E794">
        <v>999</v>
      </c>
      <c r="F794">
        <v>0.4</v>
      </c>
      <c r="G794">
        <v>4</v>
      </c>
      <c r="H794">
        <v>7601</v>
      </c>
    </row>
    <row r="795" spans="1:8" x14ac:dyDescent="0.25">
      <c r="A795" s="1" t="s">
        <v>1579</v>
      </c>
      <c r="B795" s="1" t="s">
        <v>1580</v>
      </c>
      <c r="C795" s="1" t="s">
        <v>2694</v>
      </c>
      <c r="D795" s="1" t="s">
        <v>2763</v>
      </c>
      <c r="E795">
        <v>899</v>
      </c>
      <c r="F795">
        <v>0.53</v>
      </c>
      <c r="G795">
        <v>4.5</v>
      </c>
      <c r="H795">
        <v>4219</v>
      </c>
    </row>
    <row r="796" spans="1:8" x14ac:dyDescent="0.25">
      <c r="A796" s="1" t="s">
        <v>1581</v>
      </c>
      <c r="B796" s="1" t="s">
        <v>1582</v>
      </c>
      <c r="C796" s="1" t="s">
        <v>2697</v>
      </c>
      <c r="D796" s="1" t="s">
        <v>2735</v>
      </c>
      <c r="E796">
        <v>3999</v>
      </c>
      <c r="F796">
        <v>0.63</v>
      </c>
      <c r="G796">
        <v>4.2</v>
      </c>
      <c r="H796">
        <v>42775</v>
      </c>
    </row>
    <row r="797" spans="1:8" x14ac:dyDescent="0.25">
      <c r="A797" s="1" t="s">
        <v>1583</v>
      </c>
      <c r="B797" s="1" t="s">
        <v>1584</v>
      </c>
      <c r="C797" s="1" t="s">
        <v>2694</v>
      </c>
      <c r="D797" s="1" t="s">
        <v>2792</v>
      </c>
      <c r="E797">
        <v>2499</v>
      </c>
      <c r="F797">
        <v>0.78</v>
      </c>
      <c r="G797">
        <v>4.3</v>
      </c>
      <c r="H797">
        <v>5556</v>
      </c>
    </row>
    <row r="798" spans="1:8" x14ac:dyDescent="0.25">
      <c r="A798" s="1" t="s">
        <v>1585</v>
      </c>
      <c r="B798" s="1" t="s">
        <v>1586</v>
      </c>
      <c r="C798" s="1" t="s">
        <v>2694</v>
      </c>
      <c r="D798" s="1" t="s">
        <v>2740</v>
      </c>
      <c r="E798">
        <v>1645</v>
      </c>
      <c r="F798">
        <v>0.21</v>
      </c>
      <c r="G798">
        <v>4.5999999999999996</v>
      </c>
      <c r="H798">
        <v>12375</v>
      </c>
    </row>
    <row r="799" spans="1:8" x14ac:dyDescent="0.25">
      <c r="A799" s="1" t="s">
        <v>1587</v>
      </c>
      <c r="B799" s="1" t="s">
        <v>1588</v>
      </c>
      <c r="C799" s="1" t="s">
        <v>2750</v>
      </c>
      <c r="D799" s="1" t="s">
        <v>2762</v>
      </c>
      <c r="E799">
        <v>310</v>
      </c>
      <c r="F799">
        <v>0</v>
      </c>
      <c r="G799">
        <v>4.5</v>
      </c>
      <c r="H799">
        <v>5882</v>
      </c>
    </row>
    <row r="800" spans="1:8" x14ac:dyDescent="0.25">
      <c r="A800" s="1" t="s">
        <v>1589</v>
      </c>
      <c r="B800" s="1" t="s">
        <v>1590</v>
      </c>
      <c r="C800" s="1" t="s">
        <v>2694</v>
      </c>
      <c r="D800" s="1" t="s">
        <v>2752</v>
      </c>
      <c r="E800">
        <v>1499</v>
      </c>
      <c r="F800">
        <v>0.23</v>
      </c>
      <c r="G800">
        <v>4.0999999999999996</v>
      </c>
      <c r="H800">
        <v>10443</v>
      </c>
    </row>
    <row r="801" spans="1:8" x14ac:dyDescent="0.25">
      <c r="A801" s="1" t="s">
        <v>1591</v>
      </c>
      <c r="B801" s="1" t="s">
        <v>1592</v>
      </c>
      <c r="C801" s="1" t="s">
        <v>2694</v>
      </c>
      <c r="D801" s="1" t="s">
        <v>2742</v>
      </c>
      <c r="E801">
        <v>1299</v>
      </c>
      <c r="F801">
        <v>0.62</v>
      </c>
      <c r="G801">
        <v>4.5</v>
      </c>
      <c r="H801">
        <v>434</v>
      </c>
    </row>
    <row r="802" spans="1:8" x14ac:dyDescent="0.25">
      <c r="A802" s="1" t="s">
        <v>1593</v>
      </c>
      <c r="B802" s="1" t="s">
        <v>1594</v>
      </c>
      <c r="C802" s="1" t="s">
        <v>2697</v>
      </c>
      <c r="D802" s="1" t="s">
        <v>2720</v>
      </c>
      <c r="E802">
        <v>4199</v>
      </c>
      <c r="F802">
        <v>0.76</v>
      </c>
      <c r="G802">
        <v>3.5</v>
      </c>
      <c r="H802">
        <v>1913</v>
      </c>
    </row>
    <row r="803" spans="1:8" x14ac:dyDescent="0.25">
      <c r="A803" s="1" t="s">
        <v>1595</v>
      </c>
      <c r="B803" s="1" t="s">
        <v>1596</v>
      </c>
      <c r="C803" s="1" t="s">
        <v>2694</v>
      </c>
      <c r="D803" s="1" t="s">
        <v>2801</v>
      </c>
      <c r="E803">
        <v>4000</v>
      </c>
      <c r="F803">
        <v>0.56999999999999995</v>
      </c>
      <c r="G803">
        <v>4.4000000000000004</v>
      </c>
      <c r="H803">
        <v>3029</v>
      </c>
    </row>
    <row r="804" spans="1:8" x14ac:dyDescent="0.25">
      <c r="A804" s="1" t="s">
        <v>1597</v>
      </c>
      <c r="B804" s="1" t="s">
        <v>1598</v>
      </c>
      <c r="C804" s="1" t="s">
        <v>2748</v>
      </c>
      <c r="D804" s="1" t="s">
        <v>2749</v>
      </c>
      <c r="E804">
        <v>250</v>
      </c>
      <c r="F804">
        <v>0</v>
      </c>
      <c r="G804">
        <v>4.2</v>
      </c>
      <c r="H804">
        <v>2628</v>
      </c>
    </row>
    <row r="805" spans="1:8" x14ac:dyDescent="0.25">
      <c r="A805" s="1" t="s">
        <v>1599</v>
      </c>
      <c r="B805" s="1" t="s">
        <v>1600</v>
      </c>
      <c r="C805" s="1" t="s">
        <v>2750</v>
      </c>
      <c r="D805" s="1" t="s">
        <v>2811</v>
      </c>
      <c r="E805">
        <v>100</v>
      </c>
      <c r="F805">
        <v>0.1</v>
      </c>
      <c r="G805">
        <v>4.4000000000000004</v>
      </c>
      <c r="H805">
        <v>10718</v>
      </c>
    </row>
    <row r="806" spans="1:8" x14ac:dyDescent="0.25">
      <c r="A806" s="1" t="s">
        <v>1601</v>
      </c>
      <c r="B806" s="1" t="s">
        <v>1602</v>
      </c>
      <c r="C806" s="1" t="s">
        <v>2697</v>
      </c>
      <c r="D806" s="1" t="s">
        <v>2731</v>
      </c>
      <c r="E806">
        <v>5999</v>
      </c>
      <c r="F806">
        <v>0.66</v>
      </c>
      <c r="G806">
        <v>4.2</v>
      </c>
      <c r="H806">
        <v>6233</v>
      </c>
    </row>
    <row r="807" spans="1:8" x14ac:dyDescent="0.25">
      <c r="A807" s="1" t="s">
        <v>1603</v>
      </c>
      <c r="B807" s="1" t="s">
        <v>1604</v>
      </c>
      <c r="C807" s="1" t="s">
        <v>2694</v>
      </c>
      <c r="D807" s="1" t="s">
        <v>2761</v>
      </c>
      <c r="E807">
        <v>1995</v>
      </c>
      <c r="F807">
        <v>0.25</v>
      </c>
      <c r="G807">
        <v>4.5</v>
      </c>
      <c r="H807">
        <v>10541</v>
      </c>
    </row>
    <row r="808" spans="1:8" x14ac:dyDescent="0.25">
      <c r="A808" s="1" t="s">
        <v>1605</v>
      </c>
      <c r="B808" s="1" t="s">
        <v>1606</v>
      </c>
      <c r="C808" s="1" t="s">
        <v>2697</v>
      </c>
      <c r="D808" s="1" t="s">
        <v>2768</v>
      </c>
      <c r="E808">
        <v>1199</v>
      </c>
      <c r="F808">
        <v>0.25</v>
      </c>
      <c r="G808">
        <v>3.8</v>
      </c>
      <c r="H808">
        <v>10751</v>
      </c>
    </row>
    <row r="809" spans="1:8" x14ac:dyDescent="0.25">
      <c r="A809" s="1" t="s">
        <v>1607</v>
      </c>
      <c r="B809" s="1" t="s">
        <v>1608</v>
      </c>
      <c r="C809" s="1" t="s">
        <v>2694</v>
      </c>
      <c r="D809" s="1" t="s">
        <v>2812</v>
      </c>
      <c r="E809">
        <v>999</v>
      </c>
      <c r="F809">
        <v>0.65</v>
      </c>
      <c r="G809">
        <v>3.9</v>
      </c>
      <c r="H809">
        <v>817</v>
      </c>
    </row>
    <row r="810" spans="1:8" x14ac:dyDescent="0.25">
      <c r="A810" s="1" t="s">
        <v>1609</v>
      </c>
      <c r="B810" s="1" t="s">
        <v>1610</v>
      </c>
      <c r="C810" s="1" t="s">
        <v>2697</v>
      </c>
      <c r="D810" s="1" t="s">
        <v>2716</v>
      </c>
      <c r="E810">
        <v>2499</v>
      </c>
      <c r="F810">
        <v>0.64</v>
      </c>
      <c r="G810">
        <v>4</v>
      </c>
      <c r="H810">
        <v>36384</v>
      </c>
    </row>
    <row r="811" spans="1:8" x14ac:dyDescent="0.25">
      <c r="A811" s="1" t="s">
        <v>1611</v>
      </c>
      <c r="B811" s="1" t="s">
        <v>1612</v>
      </c>
      <c r="C811" s="1" t="s">
        <v>2697</v>
      </c>
      <c r="D811" s="1" t="s">
        <v>2778</v>
      </c>
      <c r="E811">
        <v>3990</v>
      </c>
      <c r="F811">
        <v>0.38</v>
      </c>
      <c r="G811">
        <v>4.0999999999999996</v>
      </c>
      <c r="H811">
        <v>3606</v>
      </c>
    </row>
    <row r="812" spans="1:8" x14ac:dyDescent="0.25">
      <c r="A812" s="1" t="s">
        <v>1613</v>
      </c>
      <c r="B812" s="1" t="s">
        <v>1614</v>
      </c>
      <c r="C812" s="1" t="s">
        <v>2697</v>
      </c>
      <c r="D812" s="1"/>
      <c r="E812">
        <v>200</v>
      </c>
      <c r="F812">
        <v>0.42</v>
      </c>
      <c r="G812">
        <v>4.4000000000000004</v>
      </c>
      <c r="H812">
        <v>357</v>
      </c>
    </row>
    <row r="813" spans="1:8" x14ac:dyDescent="0.25">
      <c r="A813" s="1" t="s">
        <v>1615</v>
      </c>
      <c r="B813" s="1" t="s">
        <v>1616</v>
      </c>
      <c r="C813" s="1" t="s">
        <v>2750</v>
      </c>
      <c r="D813" s="1" t="s">
        <v>2762</v>
      </c>
      <c r="E813">
        <v>230</v>
      </c>
      <c r="F813">
        <v>0.13</v>
      </c>
      <c r="G813">
        <v>4.4000000000000004</v>
      </c>
      <c r="H813">
        <v>10170</v>
      </c>
    </row>
    <row r="814" spans="1:8" x14ac:dyDescent="0.25">
      <c r="A814" s="1" t="s">
        <v>1617</v>
      </c>
      <c r="B814" s="1" t="s">
        <v>1618</v>
      </c>
      <c r="C814" s="1" t="s">
        <v>2694</v>
      </c>
      <c r="D814" s="1" t="s">
        <v>2804</v>
      </c>
      <c r="E814">
        <v>2796</v>
      </c>
      <c r="F814">
        <v>0.55000000000000004</v>
      </c>
      <c r="G814">
        <v>4.4000000000000004</v>
      </c>
      <c r="H814">
        <v>4598</v>
      </c>
    </row>
    <row r="815" spans="1:8" x14ac:dyDescent="0.25">
      <c r="A815" s="1" t="s">
        <v>1619</v>
      </c>
      <c r="B815" s="1" t="s">
        <v>1620</v>
      </c>
      <c r="C815" s="1" t="s">
        <v>2694</v>
      </c>
      <c r="D815" s="1" t="s">
        <v>2813</v>
      </c>
      <c r="E815">
        <v>999</v>
      </c>
      <c r="F815">
        <v>0.35</v>
      </c>
      <c r="G815">
        <v>3.5</v>
      </c>
      <c r="H815">
        <v>7222</v>
      </c>
    </row>
    <row r="816" spans="1:8" x14ac:dyDescent="0.25">
      <c r="A816" s="1" t="s">
        <v>1621</v>
      </c>
      <c r="B816" s="1" t="s">
        <v>1622</v>
      </c>
      <c r="C816" s="1" t="s">
        <v>2694</v>
      </c>
      <c r="D816" s="1" t="s">
        <v>2814</v>
      </c>
      <c r="E816">
        <v>3499</v>
      </c>
      <c r="F816">
        <v>0.24</v>
      </c>
      <c r="G816">
        <v>4.5</v>
      </c>
      <c r="H816">
        <v>1271</v>
      </c>
    </row>
    <row r="817" spans="1:8" x14ac:dyDescent="0.25">
      <c r="A817" s="1" t="s">
        <v>1623</v>
      </c>
      <c r="B817" s="1" t="s">
        <v>1624</v>
      </c>
      <c r="C817" s="1" t="s">
        <v>2694</v>
      </c>
      <c r="D817" s="1" t="s">
        <v>2759</v>
      </c>
      <c r="E817">
        <v>723</v>
      </c>
      <c r="F817">
        <v>0.18</v>
      </c>
      <c r="G817">
        <v>4.4000000000000004</v>
      </c>
      <c r="H817">
        <v>3219</v>
      </c>
    </row>
    <row r="818" spans="1:8" x14ac:dyDescent="0.25">
      <c r="A818" s="1" t="s">
        <v>1625</v>
      </c>
      <c r="B818" s="1" t="s">
        <v>1626</v>
      </c>
      <c r="C818" s="1" t="s">
        <v>2697</v>
      </c>
      <c r="D818" s="1" t="s">
        <v>2715</v>
      </c>
      <c r="E818">
        <v>5999</v>
      </c>
      <c r="F818">
        <v>0.57999999999999996</v>
      </c>
      <c r="G818">
        <v>4.0999999999999996</v>
      </c>
      <c r="H818">
        <v>38879</v>
      </c>
    </row>
    <row r="819" spans="1:8" x14ac:dyDescent="0.25">
      <c r="A819" s="1" t="s">
        <v>1627</v>
      </c>
      <c r="B819" s="1" t="s">
        <v>1628</v>
      </c>
      <c r="C819" s="1" t="s">
        <v>2697</v>
      </c>
      <c r="D819" s="1" t="s">
        <v>2815</v>
      </c>
      <c r="E819">
        <v>12499</v>
      </c>
      <c r="F819">
        <v>0.6</v>
      </c>
      <c r="G819">
        <v>4.2</v>
      </c>
      <c r="H819">
        <v>4541</v>
      </c>
    </row>
    <row r="820" spans="1:8" x14ac:dyDescent="0.25">
      <c r="A820" s="1" t="s">
        <v>1629</v>
      </c>
      <c r="B820" s="1" t="s">
        <v>1630</v>
      </c>
      <c r="C820" s="1" t="s">
        <v>2697</v>
      </c>
      <c r="D820" s="1" t="s">
        <v>2720</v>
      </c>
      <c r="E820">
        <v>1290</v>
      </c>
      <c r="F820">
        <v>0.69</v>
      </c>
      <c r="G820">
        <v>4.2</v>
      </c>
      <c r="H820">
        <v>76042</v>
      </c>
    </row>
    <row r="821" spans="1:8" x14ac:dyDescent="0.25">
      <c r="A821" s="1" t="s">
        <v>1631</v>
      </c>
      <c r="B821" s="1" t="s">
        <v>1632</v>
      </c>
      <c r="C821" s="1" t="s">
        <v>2697</v>
      </c>
      <c r="D821" s="1"/>
      <c r="E821">
        <v>200</v>
      </c>
      <c r="F821">
        <v>0.42</v>
      </c>
      <c r="G821">
        <v>4.3</v>
      </c>
      <c r="H821">
        <v>485</v>
      </c>
    </row>
    <row r="822" spans="1:8" x14ac:dyDescent="0.25">
      <c r="A822" s="1" t="s">
        <v>1633</v>
      </c>
      <c r="B822" s="1" t="s">
        <v>1634</v>
      </c>
      <c r="C822" s="1" t="s">
        <v>2697</v>
      </c>
      <c r="D822" s="1" t="s">
        <v>2778</v>
      </c>
      <c r="E822">
        <v>5999</v>
      </c>
      <c r="F822">
        <v>0.25</v>
      </c>
      <c r="G822">
        <v>4.3</v>
      </c>
      <c r="H822">
        <v>44696</v>
      </c>
    </row>
    <row r="823" spans="1:8" x14ac:dyDescent="0.25">
      <c r="A823" s="1" t="s">
        <v>1635</v>
      </c>
      <c r="B823" s="1" t="s">
        <v>1636</v>
      </c>
      <c r="C823" s="1" t="s">
        <v>2694</v>
      </c>
      <c r="D823" s="1" t="s">
        <v>2781</v>
      </c>
      <c r="E823">
        <v>499</v>
      </c>
      <c r="F823">
        <v>0.34</v>
      </c>
      <c r="G823">
        <v>3.7</v>
      </c>
      <c r="H823">
        <v>8566</v>
      </c>
    </row>
    <row r="824" spans="1:8" x14ac:dyDescent="0.25">
      <c r="A824" s="1" t="s">
        <v>1637</v>
      </c>
      <c r="B824" s="1" t="s">
        <v>1638</v>
      </c>
      <c r="C824" s="1" t="s">
        <v>2697</v>
      </c>
      <c r="D824" s="1" t="s">
        <v>2767</v>
      </c>
      <c r="E824">
        <v>2499</v>
      </c>
      <c r="F824">
        <v>0.74</v>
      </c>
      <c r="G824">
        <v>3.9</v>
      </c>
      <c r="H824">
        <v>13049</v>
      </c>
    </row>
    <row r="825" spans="1:8" x14ac:dyDescent="0.25">
      <c r="A825" s="1" t="s">
        <v>1639</v>
      </c>
      <c r="B825" s="1" t="s">
        <v>1640</v>
      </c>
      <c r="C825" s="1" t="s">
        <v>2694</v>
      </c>
      <c r="D825" s="1" t="s">
        <v>2730</v>
      </c>
      <c r="E825">
        <v>1599</v>
      </c>
      <c r="F825">
        <v>0.23</v>
      </c>
      <c r="G825">
        <v>4.5</v>
      </c>
      <c r="H825">
        <v>16680</v>
      </c>
    </row>
    <row r="826" spans="1:8" x14ac:dyDescent="0.25">
      <c r="A826" s="1" t="s">
        <v>1641</v>
      </c>
      <c r="B826" s="1" t="s">
        <v>1642</v>
      </c>
      <c r="C826" s="1" t="s">
        <v>2748</v>
      </c>
      <c r="D826" s="1" t="s">
        <v>2807</v>
      </c>
      <c r="E826">
        <v>320</v>
      </c>
      <c r="F826">
        <v>0.15</v>
      </c>
      <c r="G826">
        <v>4</v>
      </c>
      <c r="H826">
        <v>3686</v>
      </c>
    </row>
    <row r="827" spans="1:8" x14ac:dyDescent="0.25">
      <c r="A827" s="1" t="s">
        <v>1643</v>
      </c>
      <c r="B827" s="1" t="s">
        <v>1644</v>
      </c>
      <c r="C827" s="1" t="s">
        <v>2697</v>
      </c>
      <c r="D827" s="1" t="s">
        <v>2816</v>
      </c>
      <c r="E827">
        <v>999</v>
      </c>
      <c r="F827">
        <v>0.9</v>
      </c>
      <c r="G827">
        <v>3.8</v>
      </c>
      <c r="H827">
        <v>594</v>
      </c>
    </row>
    <row r="828" spans="1:8" x14ac:dyDescent="0.25">
      <c r="A828" s="1" t="s">
        <v>1645</v>
      </c>
      <c r="B828" s="1" t="s">
        <v>1646</v>
      </c>
      <c r="C828" s="1" t="s">
        <v>2694</v>
      </c>
      <c r="D828" s="1" t="s">
        <v>2817</v>
      </c>
      <c r="E828">
        <v>3875</v>
      </c>
      <c r="F828">
        <v>0.1</v>
      </c>
      <c r="G828">
        <v>3.4</v>
      </c>
      <c r="H828">
        <v>12185</v>
      </c>
    </row>
    <row r="829" spans="1:8" x14ac:dyDescent="0.25">
      <c r="A829" s="1" t="s">
        <v>1647</v>
      </c>
      <c r="B829" s="1" t="s">
        <v>1648</v>
      </c>
      <c r="C829" s="1" t="s">
        <v>2694</v>
      </c>
      <c r="D829" s="1"/>
      <c r="E829">
        <v>19110</v>
      </c>
      <c r="F829">
        <v>0.47</v>
      </c>
      <c r="G829">
        <v>4.3</v>
      </c>
      <c r="H829">
        <v>2623</v>
      </c>
    </row>
    <row r="830" spans="1:8" x14ac:dyDescent="0.25">
      <c r="A830" s="1" t="s">
        <v>1649</v>
      </c>
      <c r="B830" s="1" t="s">
        <v>1650</v>
      </c>
      <c r="C830" s="1" t="s">
        <v>2694</v>
      </c>
      <c r="D830" s="1" t="s">
        <v>2784</v>
      </c>
      <c r="E830">
        <v>999</v>
      </c>
      <c r="F830">
        <v>0.55000000000000004</v>
      </c>
      <c r="G830">
        <v>4.3</v>
      </c>
      <c r="H830">
        <v>9701</v>
      </c>
    </row>
    <row r="831" spans="1:8" x14ac:dyDescent="0.25">
      <c r="A831" s="1" t="s">
        <v>1651</v>
      </c>
      <c r="B831" s="1" t="s">
        <v>1652</v>
      </c>
      <c r="C831" s="1" t="s">
        <v>2818</v>
      </c>
      <c r="D831" s="1" t="s">
        <v>2819</v>
      </c>
      <c r="E831">
        <v>150</v>
      </c>
      <c r="F831">
        <v>0</v>
      </c>
      <c r="G831">
        <v>4.3</v>
      </c>
      <c r="H831">
        <v>15867</v>
      </c>
    </row>
    <row r="832" spans="1:8" x14ac:dyDescent="0.25">
      <c r="A832" s="1" t="s">
        <v>1653</v>
      </c>
      <c r="B832" s="1" t="s">
        <v>1654</v>
      </c>
      <c r="C832" s="1" t="s">
        <v>2694</v>
      </c>
      <c r="D832" s="1" t="s">
        <v>2766</v>
      </c>
      <c r="E832">
        <v>2999</v>
      </c>
      <c r="F832">
        <v>0.6</v>
      </c>
      <c r="G832">
        <v>4.0999999999999996</v>
      </c>
      <c r="H832">
        <v>10725</v>
      </c>
    </row>
    <row r="833" spans="1:8" x14ac:dyDescent="0.25">
      <c r="A833" s="1" t="s">
        <v>1655</v>
      </c>
      <c r="B833" s="1" t="s">
        <v>1656</v>
      </c>
      <c r="C833" s="1" t="s">
        <v>2694</v>
      </c>
      <c r="D833" s="1" t="s">
        <v>2764</v>
      </c>
      <c r="E833">
        <v>899</v>
      </c>
      <c r="F833">
        <v>0.56000000000000005</v>
      </c>
      <c r="G833">
        <v>4</v>
      </c>
      <c r="H833">
        <v>3025</v>
      </c>
    </row>
    <row r="834" spans="1:8" x14ac:dyDescent="0.25">
      <c r="A834" s="1" t="s">
        <v>1657</v>
      </c>
      <c r="B834" s="1" t="s">
        <v>1658</v>
      </c>
      <c r="C834" s="1" t="s">
        <v>2694</v>
      </c>
      <c r="D834" s="1" t="s">
        <v>2779</v>
      </c>
      <c r="E834">
        <v>1490</v>
      </c>
      <c r="F834">
        <v>0.53</v>
      </c>
      <c r="G834">
        <v>4</v>
      </c>
      <c r="H834">
        <v>5736</v>
      </c>
    </row>
    <row r="835" spans="1:8" x14ac:dyDescent="0.25">
      <c r="A835" s="1" t="s">
        <v>1659</v>
      </c>
      <c r="B835" s="1" t="s">
        <v>1660</v>
      </c>
      <c r="C835" s="1" t="s">
        <v>2697</v>
      </c>
      <c r="D835" s="1" t="s">
        <v>2720</v>
      </c>
      <c r="E835">
        <v>1999</v>
      </c>
      <c r="F835">
        <v>0.16</v>
      </c>
      <c r="G835">
        <v>4.0999999999999996</v>
      </c>
      <c r="H835">
        <v>72563</v>
      </c>
    </row>
    <row r="836" spans="1:8" x14ac:dyDescent="0.25">
      <c r="A836" s="1" t="s">
        <v>1661</v>
      </c>
      <c r="B836" s="1" t="s">
        <v>1662</v>
      </c>
      <c r="C836" s="1" t="s">
        <v>2694</v>
      </c>
      <c r="D836" s="1" t="s">
        <v>2741</v>
      </c>
      <c r="E836">
        <v>1500</v>
      </c>
      <c r="F836">
        <v>0.76</v>
      </c>
      <c r="G836">
        <v>4</v>
      </c>
      <c r="H836">
        <v>1026</v>
      </c>
    </row>
    <row r="837" spans="1:8" x14ac:dyDescent="0.25">
      <c r="A837" s="1" t="s">
        <v>1663</v>
      </c>
      <c r="B837" s="1" t="s">
        <v>1664</v>
      </c>
      <c r="C837" s="1" t="s">
        <v>2694</v>
      </c>
      <c r="D837" s="1" t="s">
        <v>2820</v>
      </c>
      <c r="E837">
        <v>5499</v>
      </c>
      <c r="F837">
        <v>0.78</v>
      </c>
      <c r="G837">
        <v>3.8</v>
      </c>
      <c r="H837">
        <v>2043</v>
      </c>
    </row>
    <row r="838" spans="1:8" x14ac:dyDescent="0.25">
      <c r="A838" s="1" t="s">
        <v>1665</v>
      </c>
      <c r="B838" s="1" t="s">
        <v>1666</v>
      </c>
      <c r="C838" s="1" t="s">
        <v>2694</v>
      </c>
      <c r="D838" s="1" t="s">
        <v>2730</v>
      </c>
      <c r="E838">
        <v>1499</v>
      </c>
      <c r="F838">
        <v>0.75</v>
      </c>
      <c r="G838">
        <v>4.2</v>
      </c>
      <c r="H838">
        <v>4149</v>
      </c>
    </row>
    <row r="839" spans="1:8" x14ac:dyDescent="0.25">
      <c r="A839" s="1" t="s">
        <v>1667</v>
      </c>
      <c r="B839" s="1" t="s">
        <v>1668</v>
      </c>
      <c r="C839" s="1" t="s">
        <v>2694</v>
      </c>
      <c r="D839" s="1" t="s">
        <v>2753</v>
      </c>
      <c r="E839">
        <v>775</v>
      </c>
      <c r="F839">
        <v>0.36</v>
      </c>
      <c r="G839">
        <v>4.3</v>
      </c>
      <c r="H839">
        <v>74</v>
      </c>
    </row>
    <row r="840" spans="1:8" x14ac:dyDescent="0.25">
      <c r="A840" s="1" t="s">
        <v>1669</v>
      </c>
      <c r="B840" s="1" t="s">
        <v>1670</v>
      </c>
      <c r="C840" s="1" t="s">
        <v>2694</v>
      </c>
      <c r="D840" s="1" t="s">
        <v>2821</v>
      </c>
      <c r="E840">
        <v>32000</v>
      </c>
      <c r="F840">
        <v>0.68</v>
      </c>
      <c r="G840">
        <v>4.4000000000000004</v>
      </c>
      <c r="H840">
        <v>41398</v>
      </c>
    </row>
    <row r="841" spans="1:8" x14ac:dyDescent="0.25">
      <c r="A841" s="1" t="s">
        <v>1671</v>
      </c>
      <c r="B841" s="1" t="s">
        <v>1672</v>
      </c>
      <c r="C841" s="1" t="s">
        <v>2694</v>
      </c>
      <c r="D841" s="1" t="s">
        <v>2805</v>
      </c>
      <c r="E841">
        <v>1300</v>
      </c>
      <c r="F841">
        <v>0.5</v>
      </c>
      <c r="G841">
        <v>4.0999999999999996</v>
      </c>
      <c r="H841">
        <v>5195</v>
      </c>
    </row>
    <row r="842" spans="1:8" x14ac:dyDescent="0.25">
      <c r="A842" s="1" t="s">
        <v>1673</v>
      </c>
      <c r="B842" s="1" t="s">
        <v>1674</v>
      </c>
      <c r="C842" s="1" t="s">
        <v>2694</v>
      </c>
      <c r="D842" s="1" t="s">
        <v>2822</v>
      </c>
      <c r="E842">
        <v>1999</v>
      </c>
      <c r="F842">
        <v>0.4</v>
      </c>
      <c r="G842">
        <v>4.5</v>
      </c>
      <c r="H842">
        <v>22420</v>
      </c>
    </row>
    <row r="843" spans="1:8" x14ac:dyDescent="0.25">
      <c r="A843" s="1" t="s">
        <v>1675</v>
      </c>
      <c r="B843" s="1" t="s">
        <v>1676</v>
      </c>
      <c r="C843" s="1" t="s">
        <v>2697</v>
      </c>
      <c r="D843" s="1" t="s">
        <v>2720</v>
      </c>
      <c r="E843">
        <v>1999</v>
      </c>
      <c r="F843">
        <v>0.56000000000000005</v>
      </c>
      <c r="G843">
        <v>4.2</v>
      </c>
      <c r="H843">
        <v>2284</v>
      </c>
    </row>
    <row r="844" spans="1:8" x14ac:dyDescent="0.25">
      <c r="A844" s="1" t="s">
        <v>1677</v>
      </c>
      <c r="B844" s="1" t="s">
        <v>1678</v>
      </c>
      <c r="C844" s="1" t="s">
        <v>2694</v>
      </c>
      <c r="D844" s="1" t="s">
        <v>2752</v>
      </c>
      <c r="E844">
        <v>2199</v>
      </c>
      <c r="F844">
        <v>0.36</v>
      </c>
      <c r="G844">
        <v>3.9</v>
      </c>
      <c r="H844">
        <v>427</v>
      </c>
    </row>
    <row r="845" spans="1:8" x14ac:dyDescent="0.25">
      <c r="A845" s="1" t="s">
        <v>1679</v>
      </c>
      <c r="B845" s="1" t="s">
        <v>1680</v>
      </c>
      <c r="C845" s="1" t="s">
        <v>2694</v>
      </c>
      <c r="D845" s="1" t="s">
        <v>2823</v>
      </c>
      <c r="E845">
        <v>1999</v>
      </c>
      <c r="F845">
        <v>0.73</v>
      </c>
      <c r="G845">
        <v>4.3</v>
      </c>
      <c r="H845">
        <v>1367</v>
      </c>
    </row>
    <row r="846" spans="1:8" x14ac:dyDescent="0.25">
      <c r="A846" s="1" t="s">
        <v>1681</v>
      </c>
      <c r="B846" s="1" t="s">
        <v>1682</v>
      </c>
      <c r="C846" s="1" t="s">
        <v>2694</v>
      </c>
      <c r="D846" s="1" t="s">
        <v>2820</v>
      </c>
      <c r="E846">
        <v>1799</v>
      </c>
      <c r="F846">
        <v>0.57999999999999996</v>
      </c>
      <c r="G846">
        <v>4</v>
      </c>
      <c r="H846">
        <v>13199</v>
      </c>
    </row>
    <row r="847" spans="1:8" x14ac:dyDescent="0.25">
      <c r="A847" s="1" t="s">
        <v>1683</v>
      </c>
      <c r="B847" s="1" t="s">
        <v>1684</v>
      </c>
      <c r="C847" s="1" t="s">
        <v>2694</v>
      </c>
      <c r="D847" s="1" t="s">
        <v>2695</v>
      </c>
      <c r="E847">
        <v>1099</v>
      </c>
      <c r="F847">
        <v>0.66</v>
      </c>
      <c r="G847">
        <v>4.3</v>
      </c>
      <c r="H847">
        <v>2806</v>
      </c>
    </row>
    <row r="848" spans="1:8" x14ac:dyDescent="0.25">
      <c r="A848" s="1" t="s">
        <v>1685</v>
      </c>
      <c r="B848" s="1" t="s">
        <v>1686</v>
      </c>
      <c r="C848" s="1" t="s">
        <v>2697</v>
      </c>
      <c r="D848" s="1" t="s">
        <v>2715</v>
      </c>
      <c r="E848">
        <v>7999</v>
      </c>
      <c r="F848">
        <v>0.25</v>
      </c>
      <c r="G848">
        <v>4.2</v>
      </c>
      <c r="H848">
        <v>30355</v>
      </c>
    </row>
    <row r="849" spans="1:8" x14ac:dyDescent="0.25">
      <c r="A849" s="1" t="s">
        <v>1687</v>
      </c>
      <c r="B849" s="1" t="s">
        <v>1688</v>
      </c>
      <c r="C849" s="1" t="s">
        <v>2694</v>
      </c>
      <c r="D849" s="1" t="s">
        <v>2784</v>
      </c>
      <c r="E849">
        <v>1499</v>
      </c>
      <c r="F849">
        <v>0.8</v>
      </c>
      <c r="G849">
        <v>4.2</v>
      </c>
      <c r="H849">
        <v>2868</v>
      </c>
    </row>
    <row r="850" spans="1:8" x14ac:dyDescent="0.25">
      <c r="A850" s="1" t="s">
        <v>1689</v>
      </c>
      <c r="B850" s="1" t="s">
        <v>1690</v>
      </c>
      <c r="C850" s="1" t="s">
        <v>2694</v>
      </c>
      <c r="D850" s="1" t="s">
        <v>2730</v>
      </c>
      <c r="E850">
        <v>1499</v>
      </c>
      <c r="F850">
        <v>0.75</v>
      </c>
      <c r="G850">
        <v>4.0999999999999996</v>
      </c>
      <c r="H850">
        <v>670</v>
      </c>
    </row>
    <row r="851" spans="1:8" x14ac:dyDescent="0.25">
      <c r="A851" s="1" t="s">
        <v>1691</v>
      </c>
      <c r="B851" s="1" t="s">
        <v>1692</v>
      </c>
      <c r="C851" s="1" t="s">
        <v>2748</v>
      </c>
      <c r="D851" s="1" t="s">
        <v>2824</v>
      </c>
      <c r="E851">
        <v>2999</v>
      </c>
      <c r="F851">
        <v>0.53</v>
      </c>
      <c r="G851">
        <v>4.3</v>
      </c>
      <c r="H851">
        <v>3530</v>
      </c>
    </row>
    <row r="852" spans="1:8" x14ac:dyDescent="0.25">
      <c r="A852" s="1" t="s">
        <v>1693</v>
      </c>
      <c r="B852" s="1" t="s">
        <v>1694</v>
      </c>
      <c r="C852" s="1" t="s">
        <v>2697</v>
      </c>
      <c r="D852" s="1" t="s">
        <v>2825</v>
      </c>
      <c r="E852">
        <v>1299</v>
      </c>
      <c r="F852">
        <v>0.46</v>
      </c>
      <c r="G852">
        <v>4.3</v>
      </c>
      <c r="H852">
        <v>6183</v>
      </c>
    </row>
    <row r="853" spans="1:8" x14ac:dyDescent="0.25">
      <c r="A853" s="1" t="s">
        <v>1695</v>
      </c>
      <c r="B853" s="1" t="s">
        <v>1696</v>
      </c>
      <c r="C853" s="1" t="s">
        <v>2748</v>
      </c>
      <c r="D853" s="1" t="s">
        <v>2787</v>
      </c>
      <c r="E853">
        <v>300</v>
      </c>
      <c r="F853">
        <v>0</v>
      </c>
      <c r="G853">
        <v>4.2</v>
      </c>
      <c r="H853">
        <v>419</v>
      </c>
    </row>
    <row r="854" spans="1:8" x14ac:dyDescent="0.25">
      <c r="A854" s="1" t="s">
        <v>1697</v>
      </c>
      <c r="B854" s="1" t="s">
        <v>1698</v>
      </c>
      <c r="C854" s="1" t="s">
        <v>2694</v>
      </c>
      <c r="D854" s="1" t="s">
        <v>2763</v>
      </c>
      <c r="E854">
        <v>1995</v>
      </c>
      <c r="F854">
        <v>0.5</v>
      </c>
      <c r="G854">
        <v>4.5</v>
      </c>
      <c r="H854">
        <v>7317</v>
      </c>
    </row>
    <row r="855" spans="1:8" x14ac:dyDescent="0.25">
      <c r="A855" s="1" t="s">
        <v>1699</v>
      </c>
      <c r="B855" s="1" t="s">
        <v>1700</v>
      </c>
      <c r="C855" s="1" t="s">
        <v>2748</v>
      </c>
      <c r="D855" s="1" t="s">
        <v>2826</v>
      </c>
      <c r="E855">
        <v>535</v>
      </c>
      <c r="F855">
        <v>0</v>
      </c>
      <c r="G855">
        <v>4.4000000000000004</v>
      </c>
      <c r="H855">
        <v>4426</v>
      </c>
    </row>
    <row r="856" spans="1:8" x14ac:dyDescent="0.25">
      <c r="A856" s="1" t="s">
        <v>1701</v>
      </c>
      <c r="B856" s="1" t="s">
        <v>1702</v>
      </c>
      <c r="C856" s="1" t="s">
        <v>2694</v>
      </c>
      <c r="D856" s="1" t="s">
        <v>2784</v>
      </c>
      <c r="E856">
        <v>1099</v>
      </c>
      <c r="F856">
        <v>0.76</v>
      </c>
      <c r="G856">
        <v>4.0999999999999996</v>
      </c>
      <c r="H856">
        <v>1092</v>
      </c>
    </row>
    <row r="857" spans="1:8" x14ac:dyDescent="0.25">
      <c r="A857" s="1" t="s">
        <v>1703</v>
      </c>
      <c r="B857" s="1" t="s">
        <v>1704</v>
      </c>
      <c r="C857" s="1" t="s">
        <v>2748</v>
      </c>
      <c r="D857" s="1" t="s">
        <v>2807</v>
      </c>
      <c r="E857">
        <v>450</v>
      </c>
      <c r="F857">
        <v>0.24</v>
      </c>
      <c r="G857">
        <v>4.3</v>
      </c>
      <c r="H857">
        <v>2493</v>
      </c>
    </row>
    <row r="858" spans="1:8" x14ac:dyDescent="0.25">
      <c r="A858" s="1" t="s">
        <v>1705</v>
      </c>
      <c r="B858" s="1" t="s">
        <v>1706</v>
      </c>
      <c r="C858" s="1" t="s">
        <v>2694</v>
      </c>
      <c r="D858" s="1" t="s">
        <v>2766</v>
      </c>
      <c r="E858">
        <v>3999</v>
      </c>
      <c r="F858">
        <v>0.38</v>
      </c>
      <c r="G858">
        <v>4.4000000000000004</v>
      </c>
      <c r="H858">
        <v>12679</v>
      </c>
    </row>
    <row r="859" spans="1:8" x14ac:dyDescent="0.25">
      <c r="A859" s="1" t="s">
        <v>1707</v>
      </c>
      <c r="B859" s="1" t="s">
        <v>1708</v>
      </c>
      <c r="C859" s="1" t="s">
        <v>2694</v>
      </c>
      <c r="D859" s="1" t="s">
        <v>2810</v>
      </c>
      <c r="E859">
        <v>7005</v>
      </c>
      <c r="F859">
        <v>0.16</v>
      </c>
      <c r="G859">
        <v>3.6</v>
      </c>
      <c r="H859">
        <v>4199</v>
      </c>
    </row>
    <row r="860" spans="1:8" x14ac:dyDescent="0.25">
      <c r="A860" s="1" t="s">
        <v>1709</v>
      </c>
      <c r="B860" s="1" t="s">
        <v>1710</v>
      </c>
      <c r="C860" s="1" t="s">
        <v>2694</v>
      </c>
      <c r="D860" s="1" t="s">
        <v>2766</v>
      </c>
      <c r="E860">
        <v>2999</v>
      </c>
      <c r="F860">
        <v>0.48</v>
      </c>
      <c r="G860">
        <v>4</v>
      </c>
      <c r="H860">
        <v>11113</v>
      </c>
    </row>
    <row r="861" spans="1:8" x14ac:dyDescent="0.25">
      <c r="A861" s="1" t="s">
        <v>1711</v>
      </c>
      <c r="B861" s="1" t="s">
        <v>1712</v>
      </c>
      <c r="C861" s="1" t="s">
        <v>2697</v>
      </c>
      <c r="D861" s="1" t="s">
        <v>2755</v>
      </c>
      <c r="E861">
        <v>799</v>
      </c>
      <c r="F861">
        <v>0.59</v>
      </c>
      <c r="G861">
        <v>4.4000000000000004</v>
      </c>
      <c r="H861">
        <v>10773</v>
      </c>
    </row>
    <row r="862" spans="1:8" x14ac:dyDescent="0.25">
      <c r="A862" s="1" t="s">
        <v>1713</v>
      </c>
      <c r="B862" s="1" t="s">
        <v>1714</v>
      </c>
      <c r="C862" s="1" t="s">
        <v>2694</v>
      </c>
      <c r="D862" s="1" t="s">
        <v>2753</v>
      </c>
      <c r="E862">
        <v>999</v>
      </c>
      <c r="F862">
        <v>0.34</v>
      </c>
      <c r="G862">
        <v>4.3</v>
      </c>
      <c r="H862">
        <v>13944</v>
      </c>
    </row>
    <row r="863" spans="1:8" x14ac:dyDescent="0.25">
      <c r="A863" s="1" t="s">
        <v>1715</v>
      </c>
      <c r="B863" s="1" t="s">
        <v>1716</v>
      </c>
      <c r="C863" s="1" t="s">
        <v>2694</v>
      </c>
      <c r="D863" s="1" t="s">
        <v>2761</v>
      </c>
      <c r="E863">
        <v>2895</v>
      </c>
      <c r="F863">
        <v>0.31</v>
      </c>
      <c r="G863">
        <v>4.5999999999999996</v>
      </c>
      <c r="H863">
        <v>10760</v>
      </c>
    </row>
    <row r="864" spans="1:8" x14ac:dyDescent="0.25">
      <c r="A864" s="1" t="s">
        <v>1717</v>
      </c>
      <c r="B864" s="1" t="s">
        <v>1718</v>
      </c>
      <c r="C864" s="1" t="s">
        <v>2697</v>
      </c>
      <c r="D864" s="1"/>
      <c r="E864">
        <v>1500</v>
      </c>
      <c r="F864">
        <v>0</v>
      </c>
      <c r="G864">
        <v>4.4000000000000004</v>
      </c>
      <c r="H864">
        <v>25996</v>
      </c>
    </row>
    <row r="865" spans="1:8" x14ac:dyDescent="0.25">
      <c r="A865" s="1" t="s">
        <v>1719</v>
      </c>
      <c r="B865" s="1" t="s">
        <v>1720</v>
      </c>
      <c r="C865" s="1" t="s">
        <v>2694</v>
      </c>
      <c r="D865" s="1" t="s">
        <v>2744</v>
      </c>
      <c r="E865">
        <v>3195</v>
      </c>
      <c r="F865">
        <v>0.17</v>
      </c>
      <c r="G865">
        <v>4.5</v>
      </c>
      <c r="H865">
        <v>16146</v>
      </c>
    </row>
    <row r="866" spans="1:8" x14ac:dyDescent="0.25">
      <c r="A866" s="1" t="s">
        <v>1721</v>
      </c>
      <c r="B866" s="1" t="s">
        <v>1722</v>
      </c>
      <c r="C866" s="1" t="s">
        <v>2694</v>
      </c>
      <c r="D866" s="1" t="s">
        <v>2810</v>
      </c>
      <c r="E866">
        <v>6355</v>
      </c>
      <c r="F866">
        <v>0.17</v>
      </c>
      <c r="G866">
        <v>3.9</v>
      </c>
      <c r="H866">
        <v>8280</v>
      </c>
    </row>
    <row r="867" spans="1:8" x14ac:dyDescent="0.25">
      <c r="A867" s="1" t="s">
        <v>1723</v>
      </c>
      <c r="B867" s="1" t="s">
        <v>1724</v>
      </c>
      <c r="C867" s="1" t="s">
        <v>2694</v>
      </c>
      <c r="D867" s="1" t="s">
        <v>2820</v>
      </c>
      <c r="E867">
        <v>2999</v>
      </c>
      <c r="F867">
        <v>0.34</v>
      </c>
      <c r="G867">
        <v>4.3</v>
      </c>
      <c r="H867">
        <v>14237</v>
      </c>
    </row>
    <row r="868" spans="1:8" x14ac:dyDescent="0.25">
      <c r="A868" s="1" t="s">
        <v>1725</v>
      </c>
      <c r="B868" s="1" t="s">
        <v>1726</v>
      </c>
      <c r="C868" s="1" t="s">
        <v>2697</v>
      </c>
      <c r="D868" s="1" t="s">
        <v>2827</v>
      </c>
      <c r="E868">
        <v>1499</v>
      </c>
      <c r="F868">
        <v>0.14000000000000001</v>
      </c>
      <c r="G868">
        <v>4.5</v>
      </c>
      <c r="H868">
        <v>20668</v>
      </c>
    </row>
    <row r="869" spans="1:8" x14ac:dyDescent="0.25">
      <c r="A869" s="1" t="s">
        <v>1727</v>
      </c>
      <c r="B869" s="1" t="s">
        <v>1728</v>
      </c>
      <c r="C869" s="1" t="s">
        <v>2748</v>
      </c>
      <c r="D869" s="1" t="s">
        <v>2787</v>
      </c>
      <c r="E869">
        <v>165</v>
      </c>
      <c r="F869">
        <v>0</v>
      </c>
      <c r="G869">
        <v>4.5</v>
      </c>
      <c r="H869">
        <v>1674</v>
      </c>
    </row>
    <row r="870" spans="1:8" x14ac:dyDescent="0.25">
      <c r="A870" s="1" t="s">
        <v>1729</v>
      </c>
      <c r="B870" s="1" t="s">
        <v>1730</v>
      </c>
      <c r="C870" s="1" t="s">
        <v>2694</v>
      </c>
      <c r="D870" s="1" t="s">
        <v>2804</v>
      </c>
      <c r="E870">
        <v>3499</v>
      </c>
      <c r="F870">
        <v>0.51</v>
      </c>
      <c r="G870">
        <v>3.6</v>
      </c>
      <c r="H870">
        <v>7689</v>
      </c>
    </row>
    <row r="871" spans="1:8" x14ac:dyDescent="0.25">
      <c r="A871" s="1" t="s">
        <v>1731</v>
      </c>
      <c r="B871" s="1" t="s">
        <v>1732</v>
      </c>
      <c r="C871" s="1" t="s">
        <v>2697</v>
      </c>
      <c r="D871" s="1" t="s">
        <v>2778</v>
      </c>
      <c r="E871">
        <v>7500</v>
      </c>
      <c r="F871">
        <v>0.69</v>
      </c>
      <c r="G871">
        <v>4.0999999999999996</v>
      </c>
      <c r="H871">
        <v>5554</v>
      </c>
    </row>
    <row r="872" spans="1:8" x14ac:dyDescent="0.25">
      <c r="A872" s="1" t="s">
        <v>1733</v>
      </c>
      <c r="B872" s="1" t="s">
        <v>1734</v>
      </c>
      <c r="C872" s="1" t="s">
        <v>2694</v>
      </c>
      <c r="D872" s="1" t="s">
        <v>2776</v>
      </c>
      <c r="E872">
        <v>39</v>
      </c>
      <c r="F872">
        <v>0</v>
      </c>
      <c r="G872">
        <v>3.8</v>
      </c>
      <c r="H872">
        <v>3344</v>
      </c>
    </row>
    <row r="873" spans="1:8" x14ac:dyDescent="0.25">
      <c r="A873" s="1" t="s">
        <v>1735</v>
      </c>
      <c r="B873" s="1" t="s">
        <v>1736</v>
      </c>
      <c r="C873" s="1" t="s">
        <v>2694</v>
      </c>
      <c r="D873" s="1"/>
      <c r="E873">
        <v>37999</v>
      </c>
      <c r="F873">
        <v>0.28999999999999998</v>
      </c>
      <c r="G873">
        <v>4.5999999999999996</v>
      </c>
      <c r="H873">
        <v>2886</v>
      </c>
    </row>
    <row r="874" spans="1:8" x14ac:dyDescent="0.25">
      <c r="A874" s="1" t="s">
        <v>1737</v>
      </c>
      <c r="B874" s="1" t="s">
        <v>1738</v>
      </c>
      <c r="C874" s="1" t="s">
        <v>2697</v>
      </c>
      <c r="D874" s="1" t="s">
        <v>2720</v>
      </c>
      <c r="E874">
        <v>1990</v>
      </c>
      <c r="F874">
        <v>0.25</v>
      </c>
      <c r="G874">
        <v>4.0999999999999996</v>
      </c>
      <c r="H874">
        <v>98250</v>
      </c>
    </row>
    <row r="875" spans="1:8" x14ac:dyDescent="0.25">
      <c r="A875" s="1" t="s">
        <v>1739</v>
      </c>
      <c r="B875" s="1" t="s">
        <v>1740</v>
      </c>
      <c r="C875" s="1" t="s">
        <v>2694</v>
      </c>
      <c r="D875" s="1" t="s">
        <v>2742</v>
      </c>
      <c r="E875">
        <v>1949</v>
      </c>
      <c r="F875">
        <v>0.8</v>
      </c>
      <c r="G875">
        <v>4</v>
      </c>
      <c r="H875">
        <v>75</v>
      </c>
    </row>
    <row r="876" spans="1:8" x14ac:dyDescent="0.25">
      <c r="A876" s="1" t="s">
        <v>1741</v>
      </c>
      <c r="B876" s="1" t="s">
        <v>1742</v>
      </c>
      <c r="C876" s="1" t="s">
        <v>2694</v>
      </c>
      <c r="D876" s="1" t="s">
        <v>2804</v>
      </c>
      <c r="E876">
        <v>1547</v>
      </c>
      <c r="F876">
        <v>0.5</v>
      </c>
      <c r="G876">
        <v>4.3</v>
      </c>
      <c r="H876">
        <v>2585</v>
      </c>
    </row>
    <row r="877" spans="1:8" x14ac:dyDescent="0.25">
      <c r="A877" s="1" t="s">
        <v>1743</v>
      </c>
      <c r="B877" s="1" t="s">
        <v>1744</v>
      </c>
      <c r="C877" s="1" t="s">
        <v>2697</v>
      </c>
      <c r="D877" s="1" t="s">
        <v>2727</v>
      </c>
      <c r="E877">
        <v>1299</v>
      </c>
      <c r="F877">
        <v>0.79</v>
      </c>
      <c r="G877">
        <v>4</v>
      </c>
      <c r="H877">
        <v>5072</v>
      </c>
    </row>
    <row r="878" spans="1:8" x14ac:dyDescent="0.25">
      <c r="A878" s="1" t="s">
        <v>1745</v>
      </c>
      <c r="B878" s="1" t="s">
        <v>1746</v>
      </c>
      <c r="C878" s="1" t="s">
        <v>2798</v>
      </c>
      <c r="D878" s="1" t="s">
        <v>2828</v>
      </c>
      <c r="E878">
        <v>599</v>
      </c>
      <c r="F878">
        <v>0.57999999999999996</v>
      </c>
      <c r="G878">
        <v>4.5</v>
      </c>
      <c r="H878">
        <v>5985</v>
      </c>
    </row>
    <row r="879" spans="1:8" x14ac:dyDescent="0.25">
      <c r="A879" s="1" t="s">
        <v>1747</v>
      </c>
      <c r="B879" s="1" t="s">
        <v>1748</v>
      </c>
      <c r="C879" s="1" t="s">
        <v>2750</v>
      </c>
      <c r="D879" s="1" t="s">
        <v>2829</v>
      </c>
      <c r="E879">
        <v>230</v>
      </c>
      <c r="F879">
        <v>0</v>
      </c>
      <c r="G879">
        <v>4.5</v>
      </c>
      <c r="H879">
        <v>9427</v>
      </c>
    </row>
    <row r="880" spans="1:8" x14ac:dyDescent="0.25">
      <c r="A880" s="1" t="s">
        <v>1749</v>
      </c>
      <c r="B880" s="1" t="s">
        <v>1750</v>
      </c>
      <c r="C880" s="1" t="s">
        <v>2694</v>
      </c>
      <c r="D880" s="1" t="s">
        <v>2761</v>
      </c>
      <c r="E880">
        <v>700</v>
      </c>
      <c r="F880">
        <v>0.14000000000000001</v>
      </c>
      <c r="G880">
        <v>4.3</v>
      </c>
      <c r="H880">
        <v>2301</v>
      </c>
    </row>
    <row r="881" spans="1:8" x14ac:dyDescent="0.25">
      <c r="A881" s="1" t="s">
        <v>1751</v>
      </c>
      <c r="B881" s="1" t="s">
        <v>1752</v>
      </c>
      <c r="C881" s="1" t="s">
        <v>2694</v>
      </c>
      <c r="D881" s="1" t="s">
        <v>2830</v>
      </c>
      <c r="E881">
        <v>1150</v>
      </c>
      <c r="F881">
        <v>0.48</v>
      </c>
      <c r="G881">
        <v>4.0999999999999996</v>
      </c>
      <c r="H881">
        <v>2535</v>
      </c>
    </row>
    <row r="882" spans="1:8" x14ac:dyDescent="0.25">
      <c r="A882" s="1" t="s">
        <v>1753</v>
      </c>
      <c r="B882" s="1" t="s">
        <v>1754</v>
      </c>
      <c r="C882" s="1" t="s">
        <v>2694</v>
      </c>
      <c r="D882" s="1" t="s">
        <v>2730</v>
      </c>
      <c r="E882">
        <v>1499</v>
      </c>
      <c r="F882">
        <v>0.73</v>
      </c>
      <c r="G882">
        <v>4</v>
      </c>
      <c r="H882">
        <v>691</v>
      </c>
    </row>
    <row r="883" spans="1:8" x14ac:dyDescent="0.25">
      <c r="A883" s="1" t="s">
        <v>1755</v>
      </c>
      <c r="B883" s="1" t="s">
        <v>1756</v>
      </c>
      <c r="C883" s="1" t="s">
        <v>2694</v>
      </c>
      <c r="D883" s="1" t="s">
        <v>2742</v>
      </c>
      <c r="E883">
        <v>1299</v>
      </c>
      <c r="F883">
        <v>0.62</v>
      </c>
      <c r="G883">
        <v>4.0999999999999996</v>
      </c>
      <c r="H883">
        <v>2740</v>
      </c>
    </row>
    <row r="884" spans="1:8" x14ac:dyDescent="0.25">
      <c r="A884" s="1" t="s">
        <v>1757</v>
      </c>
      <c r="B884" s="1" t="s">
        <v>1758</v>
      </c>
      <c r="C884" s="1" t="s">
        <v>2694</v>
      </c>
      <c r="D884" s="1" t="s">
        <v>2740</v>
      </c>
      <c r="E884">
        <v>1090</v>
      </c>
      <c r="F884">
        <v>0.47</v>
      </c>
      <c r="G884">
        <v>4.4000000000000004</v>
      </c>
      <c r="H884">
        <v>3482</v>
      </c>
    </row>
    <row r="885" spans="1:8" x14ac:dyDescent="0.25">
      <c r="A885" s="1" t="s">
        <v>1759</v>
      </c>
      <c r="B885" s="1" t="s">
        <v>1760</v>
      </c>
      <c r="C885" s="1" t="s">
        <v>2748</v>
      </c>
      <c r="D885" s="1" t="s">
        <v>2831</v>
      </c>
      <c r="E885">
        <v>100</v>
      </c>
      <c r="F885">
        <v>0.1</v>
      </c>
      <c r="G885">
        <v>4.0999999999999996</v>
      </c>
      <c r="H885">
        <v>6199</v>
      </c>
    </row>
    <row r="886" spans="1:8" x14ac:dyDescent="0.25">
      <c r="A886" s="1" t="s">
        <v>1761</v>
      </c>
      <c r="B886" s="1" t="s">
        <v>1762</v>
      </c>
      <c r="C886" s="1" t="s">
        <v>2694</v>
      </c>
      <c r="D886" s="1" t="s">
        <v>2742</v>
      </c>
      <c r="E886">
        <v>1999</v>
      </c>
      <c r="F886">
        <v>0.55000000000000004</v>
      </c>
      <c r="G886">
        <v>4.4000000000000004</v>
      </c>
      <c r="H886">
        <v>1667</v>
      </c>
    </row>
    <row r="887" spans="1:8" x14ac:dyDescent="0.25">
      <c r="A887" s="1" t="s">
        <v>1763</v>
      </c>
      <c r="B887" s="1" t="s">
        <v>1764</v>
      </c>
      <c r="C887" s="1" t="s">
        <v>2694</v>
      </c>
      <c r="D887" s="1" t="s">
        <v>2814</v>
      </c>
      <c r="E887">
        <v>1800</v>
      </c>
      <c r="F887">
        <v>0.36</v>
      </c>
      <c r="G887">
        <v>4.3</v>
      </c>
      <c r="H887">
        <v>4723</v>
      </c>
    </row>
    <row r="888" spans="1:8" x14ac:dyDescent="0.25">
      <c r="A888" s="1" t="s">
        <v>1765</v>
      </c>
      <c r="B888" s="1" t="s">
        <v>1766</v>
      </c>
      <c r="C888" s="1" t="s">
        <v>2694</v>
      </c>
      <c r="D888" s="1" t="s">
        <v>2784</v>
      </c>
      <c r="E888">
        <v>499</v>
      </c>
      <c r="F888">
        <v>0.5</v>
      </c>
      <c r="G888">
        <v>4.2</v>
      </c>
      <c r="H888">
        <v>22860</v>
      </c>
    </row>
    <row r="889" spans="1:8" x14ac:dyDescent="0.25">
      <c r="A889" s="1" t="s">
        <v>1767</v>
      </c>
      <c r="B889" s="1" t="s">
        <v>1768</v>
      </c>
      <c r="C889" s="1" t="s">
        <v>2694</v>
      </c>
      <c r="D889" s="1" t="s">
        <v>2776</v>
      </c>
      <c r="E889">
        <v>39</v>
      </c>
      <c r="F889">
        <v>0</v>
      </c>
      <c r="G889">
        <v>3.6</v>
      </c>
      <c r="H889">
        <v>13572</v>
      </c>
    </row>
    <row r="890" spans="1:8" x14ac:dyDescent="0.25">
      <c r="A890" s="1" t="s">
        <v>1769</v>
      </c>
      <c r="B890" s="1" t="s">
        <v>1770</v>
      </c>
      <c r="C890" s="1" t="s">
        <v>2694</v>
      </c>
      <c r="D890" s="1" t="s">
        <v>2757</v>
      </c>
      <c r="E890">
        <v>3599</v>
      </c>
      <c r="F890">
        <v>0.56000000000000005</v>
      </c>
      <c r="G890">
        <v>4.2</v>
      </c>
      <c r="H890">
        <v>16182</v>
      </c>
    </row>
    <row r="891" spans="1:8" x14ac:dyDescent="0.25">
      <c r="A891" s="1" t="s">
        <v>1771</v>
      </c>
      <c r="B891" s="1" t="s">
        <v>1772</v>
      </c>
      <c r="C891" s="1" t="s">
        <v>2697</v>
      </c>
      <c r="D891" s="1" t="s">
        <v>2768</v>
      </c>
      <c r="E891">
        <v>3990</v>
      </c>
      <c r="F891">
        <v>0.7</v>
      </c>
      <c r="G891">
        <v>4.2</v>
      </c>
      <c r="H891">
        <v>2908</v>
      </c>
    </row>
    <row r="892" spans="1:8" x14ac:dyDescent="0.25">
      <c r="A892" s="1" t="s">
        <v>1773</v>
      </c>
      <c r="B892" s="1" t="s">
        <v>1774</v>
      </c>
      <c r="C892" s="1" t="s">
        <v>2694</v>
      </c>
      <c r="D892" s="1" t="s">
        <v>2740</v>
      </c>
      <c r="E892">
        <v>1499</v>
      </c>
      <c r="F892">
        <v>0.27</v>
      </c>
      <c r="G892">
        <v>4.2</v>
      </c>
      <c r="H892">
        <v>2375</v>
      </c>
    </row>
    <row r="893" spans="1:8" x14ac:dyDescent="0.25">
      <c r="A893" s="1" t="s">
        <v>1775</v>
      </c>
      <c r="B893" s="1" t="s">
        <v>1776</v>
      </c>
      <c r="C893" s="1" t="s">
        <v>2748</v>
      </c>
      <c r="D893" s="1" t="s">
        <v>2787</v>
      </c>
      <c r="E893">
        <v>120</v>
      </c>
      <c r="F893">
        <v>0</v>
      </c>
      <c r="G893">
        <v>4.5</v>
      </c>
      <c r="H893">
        <v>4951</v>
      </c>
    </row>
    <row r="894" spans="1:8" x14ac:dyDescent="0.25">
      <c r="A894" s="1" t="s">
        <v>1777</v>
      </c>
      <c r="B894" s="1" t="s">
        <v>1778</v>
      </c>
      <c r="C894" s="1" t="s">
        <v>2694</v>
      </c>
      <c r="D894" s="1" t="s">
        <v>2814</v>
      </c>
      <c r="E894">
        <v>3499</v>
      </c>
      <c r="F894">
        <v>0.56999999999999995</v>
      </c>
      <c r="G894">
        <v>4.3</v>
      </c>
      <c r="H894">
        <v>408</v>
      </c>
    </row>
    <row r="895" spans="1:8" x14ac:dyDescent="0.25">
      <c r="A895" s="1" t="s">
        <v>1779</v>
      </c>
      <c r="B895" s="1" t="s">
        <v>1780</v>
      </c>
      <c r="C895" s="1" t="s">
        <v>2748</v>
      </c>
      <c r="D895" s="1" t="s">
        <v>2831</v>
      </c>
      <c r="E895">
        <v>420</v>
      </c>
      <c r="F895">
        <v>0</v>
      </c>
      <c r="G895">
        <v>4.2</v>
      </c>
      <c r="H895">
        <v>1926</v>
      </c>
    </row>
    <row r="896" spans="1:8" x14ac:dyDescent="0.25">
      <c r="A896" s="1" t="s">
        <v>1781</v>
      </c>
      <c r="B896" s="1" t="s">
        <v>1782</v>
      </c>
      <c r="C896" s="1" t="s">
        <v>2748</v>
      </c>
      <c r="D896" s="1" t="s">
        <v>2832</v>
      </c>
      <c r="E896">
        <v>225</v>
      </c>
      <c r="F896">
        <v>0</v>
      </c>
      <c r="G896">
        <v>4.0999999999999996</v>
      </c>
      <c r="H896">
        <v>4798</v>
      </c>
    </row>
    <row r="897" spans="1:8" x14ac:dyDescent="0.25">
      <c r="A897" s="1" t="s">
        <v>1783</v>
      </c>
      <c r="B897" s="1" t="s">
        <v>1784</v>
      </c>
      <c r="C897" s="1" t="s">
        <v>2694</v>
      </c>
      <c r="D897" s="1" t="s">
        <v>2833</v>
      </c>
      <c r="E897">
        <v>799</v>
      </c>
      <c r="F897">
        <v>0.75</v>
      </c>
      <c r="G897">
        <v>4.0999999999999996</v>
      </c>
      <c r="H897">
        <v>7333</v>
      </c>
    </row>
    <row r="898" spans="1:8" x14ac:dyDescent="0.25">
      <c r="A898" s="1" t="s">
        <v>1785</v>
      </c>
      <c r="B898" s="1" t="s">
        <v>1786</v>
      </c>
      <c r="C898" s="1" t="s">
        <v>2694</v>
      </c>
      <c r="D898" s="1" t="s">
        <v>2817</v>
      </c>
      <c r="E898">
        <v>9625</v>
      </c>
      <c r="F898">
        <v>0.13</v>
      </c>
      <c r="G898">
        <v>3.8</v>
      </c>
      <c r="H898">
        <v>3652</v>
      </c>
    </row>
    <row r="899" spans="1:8" x14ac:dyDescent="0.25">
      <c r="A899" s="1" t="s">
        <v>1787</v>
      </c>
      <c r="B899" s="1" t="s">
        <v>1788</v>
      </c>
      <c r="C899" s="1" t="s">
        <v>2694</v>
      </c>
      <c r="D899" s="1" t="s">
        <v>2801</v>
      </c>
      <c r="E899">
        <v>6100</v>
      </c>
      <c r="F899">
        <v>0.46</v>
      </c>
      <c r="G899">
        <v>4.3</v>
      </c>
      <c r="H899">
        <v>2515</v>
      </c>
    </row>
    <row r="900" spans="1:8" x14ac:dyDescent="0.25">
      <c r="A900" s="1" t="s">
        <v>1789</v>
      </c>
      <c r="B900" s="1" t="s">
        <v>1790</v>
      </c>
      <c r="C900" s="1" t="s">
        <v>2694</v>
      </c>
      <c r="D900" s="1" t="s">
        <v>2739</v>
      </c>
      <c r="E900">
        <v>1300</v>
      </c>
      <c r="F900">
        <v>0.65</v>
      </c>
      <c r="G900">
        <v>4.2</v>
      </c>
      <c r="H900">
        <v>4959</v>
      </c>
    </row>
    <row r="901" spans="1:8" x14ac:dyDescent="0.25">
      <c r="A901" s="1" t="s">
        <v>1791</v>
      </c>
      <c r="B901" s="1" t="s">
        <v>1792</v>
      </c>
      <c r="C901" s="1" t="s">
        <v>2697</v>
      </c>
      <c r="D901" s="1" t="s">
        <v>2747</v>
      </c>
      <c r="E901">
        <v>400</v>
      </c>
      <c r="F901">
        <v>0.05</v>
      </c>
      <c r="G901">
        <v>4.4000000000000004</v>
      </c>
      <c r="H901">
        <v>2111</v>
      </c>
    </row>
    <row r="902" spans="1:8" x14ac:dyDescent="0.25">
      <c r="A902" s="1" t="s">
        <v>1793</v>
      </c>
      <c r="B902" s="1" t="s">
        <v>1794</v>
      </c>
      <c r="C902" s="1" t="s">
        <v>2694</v>
      </c>
      <c r="D902" s="1" t="s">
        <v>2741</v>
      </c>
      <c r="E902">
        <v>1399</v>
      </c>
      <c r="F902">
        <v>0.64</v>
      </c>
      <c r="G902">
        <v>3.9</v>
      </c>
      <c r="H902">
        <v>1462</v>
      </c>
    </row>
    <row r="903" spans="1:8" x14ac:dyDescent="0.25">
      <c r="A903" s="1" t="s">
        <v>1795</v>
      </c>
      <c r="B903" s="1" t="s">
        <v>1796</v>
      </c>
      <c r="C903" s="1" t="s">
        <v>2694</v>
      </c>
      <c r="D903" s="1" t="s">
        <v>2834</v>
      </c>
      <c r="E903">
        <v>59890</v>
      </c>
      <c r="F903">
        <v>0.38</v>
      </c>
      <c r="G903">
        <v>4</v>
      </c>
      <c r="H903">
        <v>323</v>
      </c>
    </row>
    <row r="904" spans="1:8" x14ac:dyDescent="0.25">
      <c r="A904" s="1" t="s">
        <v>1797</v>
      </c>
      <c r="B904" s="1" t="s">
        <v>1798</v>
      </c>
      <c r="C904" s="1" t="s">
        <v>2697</v>
      </c>
      <c r="D904" s="1" t="s">
        <v>2735</v>
      </c>
      <c r="E904">
        <v>2490</v>
      </c>
      <c r="F904">
        <v>0.66</v>
      </c>
      <c r="G904">
        <v>4.2</v>
      </c>
      <c r="H904">
        <v>91188</v>
      </c>
    </row>
    <row r="905" spans="1:8" x14ac:dyDescent="0.25">
      <c r="A905" s="1" t="s">
        <v>1799</v>
      </c>
      <c r="B905" s="1" t="s">
        <v>1800</v>
      </c>
      <c r="C905" s="1" t="s">
        <v>2697</v>
      </c>
      <c r="D905" s="1" t="s">
        <v>2783</v>
      </c>
      <c r="E905">
        <v>1999</v>
      </c>
      <c r="F905">
        <v>0.6</v>
      </c>
      <c r="G905">
        <v>3.7</v>
      </c>
      <c r="H905">
        <v>418</v>
      </c>
    </row>
    <row r="906" spans="1:8" x14ac:dyDescent="0.25">
      <c r="A906" s="1" t="s">
        <v>1801</v>
      </c>
      <c r="B906" s="1" t="s">
        <v>1802</v>
      </c>
      <c r="C906" s="1" t="s">
        <v>2694</v>
      </c>
      <c r="D906" s="1" t="s">
        <v>2776</v>
      </c>
      <c r="E906">
        <v>999</v>
      </c>
      <c r="F906">
        <v>0.7</v>
      </c>
      <c r="G906">
        <v>4.3</v>
      </c>
      <c r="H906">
        <v>1552</v>
      </c>
    </row>
    <row r="907" spans="1:8" x14ac:dyDescent="0.25">
      <c r="A907" s="1" t="s">
        <v>1803</v>
      </c>
      <c r="B907" s="1" t="s">
        <v>1804</v>
      </c>
      <c r="C907" s="1" t="s">
        <v>2697</v>
      </c>
      <c r="D907" s="1" t="s">
        <v>2783</v>
      </c>
      <c r="E907">
        <v>2999</v>
      </c>
      <c r="F907">
        <v>0.5</v>
      </c>
      <c r="G907">
        <v>4.0999999999999996</v>
      </c>
      <c r="H907">
        <v>25262</v>
      </c>
    </row>
    <row r="908" spans="1:8" x14ac:dyDescent="0.25">
      <c r="A908" s="1" t="s">
        <v>1805</v>
      </c>
      <c r="B908" s="1" t="s">
        <v>1806</v>
      </c>
      <c r="C908" s="1" t="s">
        <v>2750</v>
      </c>
      <c r="D908" s="1" t="s">
        <v>2835</v>
      </c>
      <c r="E908">
        <v>1245</v>
      </c>
      <c r="F908">
        <v>0.48</v>
      </c>
      <c r="G908">
        <v>3.9</v>
      </c>
      <c r="H908">
        <v>123365</v>
      </c>
    </row>
    <row r="909" spans="1:8" x14ac:dyDescent="0.25">
      <c r="A909" s="1" t="s">
        <v>1807</v>
      </c>
      <c r="B909" s="1" t="s">
        <v>1808</v>
      </c>
      <c r="C909" s="1" t="s">
        <v>2750</v>
      </c>
      <c r="D909" s="1" t="s">
        <v>2836</v>
      </c>
      <c r="E909">
        <v>1695</v>
      </c>
      <c r="F909">
        <v>0.28999999999999998</v>
      </c>
      <c r="G909">
        <v>3.6</v>
      </c>
      <c r="H909">
        <v>13300</v>
      </c>
    </row>
    <row r="910" spans="1:8" x14ac:dyDescent="0.25">
      <c r="A910" s="1" t="s">
        <v>1809</v>
      </c>
      <c r="B910" s="1" t="s">
        <v>1810</v>
      </c>
      <c r="C910" s="1" t="s">
        <v>2750</v>
      </c>
      <c r="D910" s="1" t="s">
        <v>2837</v>
      </c>
      <c r="E910">
        <v>2000</v>
      </c>
      <c r="F910">
        <v>0.4</v>
      </c>
      <c r="G910">
        <v>4</v>
      </c>
      <c r="H910">
        <v>18543</v>
      </c>
    </row>
    <row r="911" spans="1:8" x14ac:dyDescent="0.25">
      <c r="A911" s="1" t="s">
        <v>1811</v>
      </c>
      <c r="B911" s="1" t="s">
        <v>1812</v>
      </c>
      <c r="C911" s="1" t="s">
        <v>2750</v>
      </c>
      <c r="D911" s="1" t="s">
        <v>2838</v>
      </c>
      <c r="E911">
        <v>999</v>
      </c>
      <c r="F911">
        <v>0.54</v>
      </c>
      <c r="G911">
        <v>4.0999999999999996</v>
      </c>
      <c r="H911">
        <v>3578</v>
      </c>
    </row>
    <row r="912" spans="1:8" x14ac:dyDescent="0.25">
      <c r="A912" s="1" t="s">
        <v>1813</v>
      </c>
      <c r="B912" s="1" t="s">
        <v>1814</v>
      </c>
      <c r="C912" s="1" t="s">
        <v>2750</v>
      </c>
      <c r="D912" s="1" t="s">
        <v>2839</v>
      </c>
      <c r="E912">
        <v>1999</v>
      </c>
      <c r="F912">
        <v>0.9</v>
      </c>
      <c r="G912">
        <v>3.7</v>
      </c>
      <c r="H912">
        <v>2031</v>
      </c>
    </row>
    <row r="913" spans="1:8" x14ac:dyDescent="0.25">
      <c r="A913" s="1" t="s">
        <v>1815</v>
      </c>
      <c r="B913" s="1" t="s">
        <v>1816</v>
      </c>
      <c r="C913" s="1" t="s">
        <v>2750</v>
      </c>
      <c r="D913" s="1" t="s">
        <v>2839</v>
      </c>
      <c r="E913">
        <v>499</v>
      </c>
      <c r="F913">
        <v>0.41</v>
      </c>
      <c r="G913">
        <v>3.9</v>
      </c>
      <c r="H913">
        <v>44994</v>
      </c>
    </row>
    <row r="914" spans="1:8" x14ac:dyDescent="0.25">
      <c r="A914" s="1" t="s">
        <v>1817</v>
      </c>
      <c r="B914" s="1" t="s">
        <v>1818</v>
      </c>
      <c r="C914" s="1" t="s">
        <v>2750</v>
      </c>
      <c r="D914" s="1" t="s">
        <v>2840</v>
      </c>
      <c r="E914">
        <v>495</v>
      </c>
      <c r="F914">
        <v>0.6</v>
      </c>
      <c r="G914">
        <v>4.0999999999999996</v>
      </c>
      <c r="H914">
        <v>270563</v>
      </c>
    </row>
    <row r="915" spans="1:8" x14ac:dyDescent="0.25">
      <c r="A915" s="1" t="s">
        <v>1819</v>
      </c>
      <c r="B915" s="1" t="s">
        <v>1820</v>
      </c>
      <c r="C915" s="1" t="s">
        <v>2750</v>
      </c>
      <c r="D915" s="1" t="s">
        <v>2835</v>
      </c>
      <c r="E915">
        <v>1245</v>
      </c>
      <c r="F915">
        <v>0.4</v>
      </c>
      <c r="G915">
        <v>3.9</v>
      </c>
      <c r="H915">
        <v>31783</v>
      </c>
    </row>
    <row r="916" spans="1:8" x14ac:dyDescent="0.25">
      <c r="A916" s="1" t="s">
        <v>1821</v>
      </c>
      <c r="B916" s="1" t="s">
        <v>1822</v>
      </c>
      <c r="C916" s="1" t="s">
        <v>2750</v>
      </c>
      <c r="D916" s="1" t="s">
        <v>2836</v>
      </c>
      <c r="E916">
        <v>1549</v>
      </c>
      <c r="F916">
        <v>0.1</v>
      </c>
      <c r="G916">
        <v>3.9</v>
      </c>
      <c r="H916">
        <v>2602</v>
      </c>
    </row>
    <row r="917" spans="1:8" x14ac:dyDescent="0.25">
      <c r="A917" s="1" t="s">
        <v>1823</v>
      </c>
      <c r="B917" s="1" t="s">
        <v>1824</v>
      </c>
      <c r="C917" s="1" t="s">
        <v>2750</v>
      </c>
      <c r="D917" s="1" t="s">
        <v>2835</v>
      </c>
      <c r="E917">
        <v>1445</v>
      </c>
      <c r="F917">
        <v>0.48</v>
      </c>
      <c r="G917">
        <v>3.9</v>
      </c>
      <c r="H917">
        <v>63350</v>
      </c>
    </row>
    <row r="918" spans="1:8" x14ac:dyDescent="0.25">
      <c r="A918" s="1" t="s">
        <v>1825</v>
      </c>
      <c r="B918" s="1" t="s">
        <v>1826</v>
      </c>
      <c r="C918" s="1" t="s">
        <v>2750</v>
      </c>
      <c r="D918" s="1" t="s">
        <v>2841</v>
      </c>
      <c r="E918">
        <v>3193</v>
      </c>
      <c r="F918">
        <v>0.47</v>
      </c>
      <c r="G918">
        <v>3.8</v>
      </c>
      <c r="H918">
        <v>54032</v>
      </c>
    </row>
    <row r="919" spans="1:8" x14ac:dyDescent="0.25">
      <c r="A919" s="1" t="s">
        <v>1827</v>
      </c>
      <c r="B919" s="1" t="s">
        <v>1828</v>
      </c>
      <c r="C919" s="1" t="s">
        <v>2750</v>
      </c>
      <c r="D919" s="1" t="s">
        <v>2835</v>
      </c>
      <c r="E919">
        <v>1345</v>
      </c>
      <c r="F919">
        <v>0.22</v>
      </c>
      <c r="G919">
        <v>3.8</v>
      </c>
      <c r="H919">
        <v>15592</v>
      </c>
    </row>
    <row r="920" spans="1:8" x14ac:dyDescent="0.25">
      <c r="A920" s="1" t="s">
        <v>1829</v>
      </c>
      <c r="B920" s="1" t="s">
        <v>1830</v>
      </c>
      <c r="C920" s="1" t="s">
        <v>2750</v>
      </c>
      <c r="D920" s="1" t="s">
        <v>2838</v>
      </c>
      <c r="E920">
        <v>999</v>
      </c>
      <c r="F920">
        <v>0.5</v>
      </c>
      <c r="G920">
        <v>4.0999999999999996</v>
      </c>
      <c r="H920">
        <v>4859</v>
      </c>
    </row>
    <row r="921" spans="1:8" x14ac:dyDescent="0.25">
      <c r="A921" s="1" t="s">
        <v>1831</v>
      </c>
      <c r="B921" s="1" t="s">
        <v>1832</v>
      </c>
      <c r="C921" s="1" t="s">
        <v>2750</v>
      </c>
      <c r="D921" s="1" t="s">
        <v>2837</v>
      </c>
      <c r="E921">
        <v>1650</v>
      </c>
      <c r="F921">
        <v>0.11</v>
      </c>
      <c r="G921">
        <v>4.0999999999999996</v>
      </c>
      <c r="H921">
        <v>14120</v>
      </c>
    </row>
    <row r="922" spans="1:8" x14ac:dyDescent="0.25">
      <c r="A922" s="1" t="s">
        <v>1833</v>
      </c>
      <c r="B922" s="1" t="s">
        <v>1834</v>
      </c>
      <c r="C922" s="1" t="s">
        <v>2750</v>
      </c>
      <c r="D922" s="1" t="s">
        <v>2842</v>
      </c>
      <c r="E922">
        <v>499</v>
      </c>
      <c r="F922">
        <v>0.5</v>
      </c>
      <c r="G922">
        <v>3.3</v>
      </c>
      <c r="H922">
        <v>8427</v>
      </c>
    </row>
    <row r="923" spans="1:8" x14ac:dyDescent="0.25">
      <c r="A923" s="1" t="s">
        <v>1835</v>
      </c>
      <c r="B923" s="1" t="s">
        <v>1836</v>
      </c>
      <c r="C923" s="1" t="s">
        <v>2750</v>
      </c>
      <c r="D923" s="1" t="s">
        <v>2843</v>
      </c>
      <c r="E923">
        <v>1400</v>
      </c>
      <c r="F923">
        <v>0.55000000000000004</v>
      </c>
      <c r="G923">
        <v>4.2</v>
      </c>
      <c r="H923">
        <v>23316</v>
      </c>
    </row>
    <row r="924" spans="1:8" x14ac:dyDescent="0.25">
      <c r="A924" s="1" t="s">
        <v>1837</v>
      </c>
      <c r="B924" s="1" t="s">
        <v>1838</v>
      </c>
      <c r="C924" s="1" t="s">
        <v>2750</v>
      </c>
      <c r="D924" s="1" t="s">
        <v>2844</v>
      </c>
      <c r="E924">
        <v>2500</v>
      </c>
      <c r="F924">
        <v>0.48</v>
      </c>
      <c r="G924">
        <v>4</v>
      </c>
      <c r="H924">
        <v>6530</v>
      </c>
    </row>
    <row r="925" spans="1:8" x14ac:dyDescent="0.25">
      <c r="A925" s="1" t="s">
        <v>1839</v>
      </c>
      <c r="B925" s="1" t="s">
        <v>1840</v>
      </c>
      <c r="C925" s="1" t="s">
        <v>2750</v>
      </c>
      <c r="D925" s="1" t="s">
        <v>2845</v>
      </c>
      <c r="E925">
        <v>6190</v>
      </c>
      <c r="F925">
        <v>0.42</v>
      </c>
      <c r="G925">
        <v>4.3</v>
      </c>
      <c r="H925">
        <v>11924</v>
      </c>
    </row>
    <row r="926" spans="1:8" x14ac:dyDescent="0.25">
      <c r="A926" s="1" t="s">
        <v>1841</v>
      </c>
      <c r="B926" s="1" t="s">
        <v>1842</v>
      </c>
      <c r="C926" s="1" t="s">
        <v>2750</v>
      </c>
      <c r="D926" s="1" t="s">
        <v>2846</v>
      </c>
      <c r="E926">
        <v>13999</v>
      </c>
      <c r="F926">
        <v>0.53</v>
      </c>
      <c r="G926">
        <v>4</v>
      </c>
      <c r="H926">
        <v>2961</v>
      </c>
    </row>
    <row r="927" spans="1:8" x14ac:dyDescent="0.25">
      <c r="A927" s="1" t="s">
        <v>1843</v>
      </c>
      <c r="B927" s="1" t="s">
        <v>1844</v>
      </c>
      <c r="C927" s="1" t="s">
        <v>2750</v>
      </c>
      <c r="D927" s="1" t="s">
        <v>2835</v>
      </c>
      <c r="E927">
        <v>2995</v>
      </c>
      <c r="F927">
        <v>0.46</v>
      </c>
      <c r="G927">
        <v>4.5</v>
      </c>
      <c r="H927">
        <v>23484</v>
      </c>
    </row>
    <row r="928" spans="1:8" x14ac:dyDescent="0.25">
      <c r="A928" s="1" t="s">
        <v>1845</v>
      </c>
      <c r="B928" s="1" t="s">
        <v>1846</v>
      </c>
      <c r="C928" s="1" t="s">
        <v>2750</v>
      </c>
      <c r="D928" s="1" t="s">
        <v>2845</v>
      </c>
      <c r="E928">
        <v>5890</v>
      </c>
      <c r="F928">
        <v>0.56000000000000005</v>
      </c>
      <c r="G928">
        <v>4.0999999999999996</v>
      </c>
      <c r="H928">
        <v>21783</v>
      </c>
    </row>
    <row r="929" spans="1:8" x14ac:dyDescent="0.25">
      <c r="A929" s="1" t="s">
        <v>1847</v>
      </c>
      <c r="B929" s="1" t="s">
        <v>1848</v>
      </c>
      <c r="C929" s="1" t="s">
        <v>2750</v>
      </c>
      <c r="D929" s="1" t="s">
        <v>2847</v>
      </c>
      <c r="E929">
        <v>2000</v>
      </c>
      <c r="F929">
        <v>0.4</v>
      </c>
      <c r="G929">
        <v>4</v>
      </c>
      <c r="H929">
        <v>14030</v>
      </c>
    </row>
    <row r="930" spans="1:8" x14ac:dyDescent="0.25">
      <c r="A930" s="1" t="s">
        <v>1849</v>
      </c>
      <c r="B930" s="1" t="s">
        <v>1850</v>
      </c>
      <c r="C930" s="1" t="s">
        <v>2750</v>
      </c>
      <c r="D930" s="1" t="s">
        <v>2848</v>
      </c>
      <c r="E930">
        <v>13150</v>
      </c>
      <c r="F930">
        <v>0.57999999999999996</v>
      </c>
      <c r="G930">
        <v>4.2</v>
      </c>
      <c r="H930">
        <v>6398</v>
      </c>
    </row>
    <row r="931" spans="1:8" x14ac:dyDescent="0.25">
      <c r="A931" s="1" t="s">
        <v>1851</v>
      </c>
      <c r="B931" s="1" t="s">
        <v>1852</v>
      </c>
      <c r="C931" s="1" t="s">
        <v>2750</v>
      </c>
      <c r="D931" s="1" t="s">
        <v>2844</v>
      </c>
      <c r="E931">
        <v>3500</v>
      </c>
      <c r="F931">
        <v>0.63</v>
      </c>
      <c r="G931">
        <v>3.8</v>
      </c>
      <c r="H931">
        <v>44050</v>
      </c>
    </row>
    <row r="932" spans="1:8" x14ac:dyDescent="0.25">
      <c r="A932" s="1" t="s">
        <v>1853</v>
      </c>
      <c r="B932" s="1" t="s">
        <v>1854</v>
      </c>
      <c r="C932" s="1" t="s">
        <v>2750</v>
      </c>
      <c r="D932" s="1" t="s">
        <v>2843</v>
      </c>
      <c r="E932">
        <v>785</v>
      </c>
      <c r="F932">
        <v>0.24</v>
      </c>
      <c r="G932">
        <v>4.2</v>
      </c>
      <c r="H932">
        <v>24247</v>
      </c>
    </row>
    <row r="933" spans="1:8" x14ac:dyDescent="0.25">
      <c r="A933" s="1" t="s">
        <v>1855</v>
      </c>
      <c r="B933" s="1" t="s">
        <v>1856</v>
      </c>
      <c r="C933" s="1" t="s">
        <v>2750</v>
      </c>
      <c r="D933" s="1" t="s">
        <v>2844</v>
      </c>
      <c r="E933">
        <v>3210</v>
      </c>
      <c r="F933">
        <v>0.38</v>
      </c>
      <c r="G933">
        <v>4.2</v>
      </c>
      <c r="H933">
        <v>41349</v>
      </c>
    </row>
    <row r="934" spans="1:8" x14ac:dyDescent="0.25">
      <c r="A934" s="1" t="s">
        <v>1857</v>
      </c>
      <c r="B934" s="1" t="s">
        <v>1858</v>
      </c>
      <c r="C934" s="1" t="s">
        <v>2750</v>
      </c>
      <c r="D934" s="1" t="s">
        <v>2847</v>
      </c>
      <c r="E934">
        <v>1000</v>
      </c>
      <c r="F934">
        <v>0.45</v>
      </c>
      <c r="G934">
        <v>3.6</v>
      </c>
      <c r="H934">
        <v>1074</v>
      </c>
    </row>
    <row r="935" spans="1:8" x14ac:dyDescent="0.25">
      <c r="A935" s="1" t="s">
        <v>1859</v>
      </c>
      <c r="B935" s="1" t="s">
        <v>1860</v>
      </c>
      <c r="C935" s="1" t="s">
        <v>2750</v>
      </c>
      <c r="D935" s="1" t="s">
        <v>2836</v>
      </c>
      <c r="E935">
        <v>2000</v>
      </c>
      <c r="F935">
        <v>0.5</v>
      </c>
      <c r="G935">
        <v>3.8</v>
      </c>
      <c r="H935">
        <v>1163</v>
      </c>
    </row>
    <row r="936" spans="1:8" x14ac:dyDescent="0.25">
      <c r="A936" s="1" t="s">
        <v>1861</v>
      </c>
      <c r="B936" s="1" t="s">
        <v>1862</v>
      </c>
      <c r="C936" s="1" t="s">
        <v>2750</v>
      </c>
      <c r="D936" s="1" t="s">
        <v>2838</v>
      </c>
      <c r="E936">
        <v>1999</v>
      </c>
      <c r="F936">
        <v>0.8</v>
      </c>
      <c r="G936">
        <v>4.0999999999999996</v>
      </c>
      <c r="H936">
        <v>257</v>
      </c>
    </row>
    <row r="937" spans="1:8" x14ac:dyDescent="0.25">
      <c r="A937" s="1" t="s">
        <v>1863</v>
      </c>
      <c r="B937" s="1" t="s">
        <v>1864</v>
      </c>
      <c r="C937" s="1" t="s">
        <v>2750</v>
      </c>
      <c r="D937" s="1" t="s">
        <v>2849</v>
      </c>
      <c r="E937">
        <v>720</v>
      </c>
      <c r="F937">
        <v>0.25</v>
      </c>
      <c r="G937">
        <v>4.0999999999999996</v>
      </c>
      <c r="H937">
        <v>36017</v>
      </c>
    </row>
    <row r="938" spans="1:8" x14ac:dyDescent="0.25">
      <c r="A938" s="1" t="s">
        <v>1865</v>
      </c>
      <c r="B938" s="1" t="s">
        <v>1866</v>
      </c>
      <c r="C938" s="1" t="s">
        <v>2750</v>
      </c>
      <c r="D938" s="1" t="s">
        <v>2835</v>
      </c>
      <c r="E938">
        <v>1595</v>
      </c>
      <c r="F938">
        <v>0.56000000000000005</v>
      </c>
      <c r="G938">
        <v>4.0999999999999996</v>
      </c>
      <c r="H938">
        <v>8090</v>
      </c>
    </row>
    <row r="939" spans="1:8" x14ac:dyDescent="0.25">
      <c r="A939" s="1" t="s">
        <v>1867</v>
      </c>
      <c r="B939" s="1" t="s">
        <v>1868</v>
      </c>
      <c r="C939" s="1" t="s">
        <v>2750</v>
      </c>
      <c r="D939" s="1" t="s">
        <v>2841</v>
      </c>
      <c r="E939">
        <v>3645</v>
      </c>
      <c r="F939">
        <v>0.41</v>
      </c>
      <c r="G939">
        <v>4.0999999999999996</v>
      </c>
      <c r="H939">
        <v>31388</v>
      </c>
    </row>
    <row r="940" spans="1:8" x14ac:dyDescent="0.25">
      <c r="A940" s="1" t="s">
        <v>1869</v>
      </c>
      <c r="B940" s="1" t="s">
        <v>1870</v>
      </c>
      <c r="C940" s="1" t="s">
        <v>2750</v>
      </c>
      <c r="D940" s="1" t="s">
        <v>2850</v>
      </c>
      <c r="E940">
        <v>7950</v>
      </c>
      <c r="F940">
        <v>0.55000000000000004</v>
      </c>
      <c r="G940">
        <v>4.2</v>
      </c>
      <c r="H940">
        <v>136</v>
      </c>
    </row>
    <row r="941" spans="1:8" x14ac:dyDescent="0.25">
      <c r="A941" s="1" t="s">
        <v>1871</v>
      </c>
      <c r="B941" s="1" t="s">
        <v>1872</v>
      </c>
      <c r="C941" s="1" t="s">
        <v>2750</v>
      </c>
      <c r="D941" s="1" t="s">
        <v>2851</v>
      </c>
      <c r="E941">
        <v>999</v>
      </c>
      <c r="F941">
        <v>0.65</v>
      </c>
      <c r="G941">
        <v>4</v>
      </c>
      <c r="H941">
        <v>5380</v>
      </c>
    </row>
    <row r="942" spans="1:8" x14ac:dyDescent="0.25">
      <c r="A942" s="1" t="s">
        <v>1873</v>
      </c>
      <c r="B942" s="1" t="s">
        <v>1874</v>
      </c>
      <c r="C942" s="1" t="s">
        <v>2750</v>
      </c>
      <c r="D942" s="1" t="s">
        <v>2852</v>
      </c>
      <c r="E942">
        <v>1745</v>
      </c>
      <c r="F942">
        <v>0.08</v>
      </c>
      <c r="G942">
        <v>4.3</v>
      </c>
      <c r="H942">
        <v>37974</v>
      </c>
    </row>
    <row r="943" spans="1:8" x14ac:dyDescent="0.25">
      <c r="A943" s="1" t="s">
        <v>1875</v>
      </c>
      <c r="B943" s="1" t="s">
        <v>1876</v>
      </c>
      <c r="C943" s="1" t="s">
        <v>2750</v>
      </c>
      <c r="D943" s="1" t="s">
        <v>2849</v>
      </c>
      <c r="E943">
        <v>1295</v>
      </c>
      <c r="F943">
        <v>0.44</v>
      </c>
      <c r="G943">
        <v>4.2</v>
      </c>
      <c r="H943">
        <v>17218</v>
      </c>
    </row>
    <row r="944" spans="1:8" x14ac:dyDescent="0.25">
      <c r="A944" s="1" t="s">
        <v>1877</v>
      </c>
      <c r="B944" s="1" t="s">
        <v>1878</v>
      </c>
      <c r="C944" s="1" t="s">
        <v>2750</v>
      </c>
      <c r="D944" s="1" t="s">
        <v>2838</v>
      </c>
      <c r="E944">
        <v>1499</v>
      </c>
      <c r="F944">
        <v>0.55000000000000004</v>
      </c>
      <c r="G944">
        <v>4.2</v>
      </c>
      <c r="H944">
        <v>900</v>
      </c>
    </row>
    <row r="945" spans="1:8" x14ac:dyDescent="0.25">
      <c r="A945" s="1" t="s">
        <v>1879</v>
      </c>
      <c r="B945" s="1" t="s">
        <v>1880</v>
      </c>
      <c r="C945" s="1" t="s">
        <v>2750</v>
      </c>
      <c r="D945" s="1" t="s">
        <v>2847</v>
      </c>
      <c r="E945">
        <v>1545</v>
      </c>
      <c r="F945">
        <v>0.48</v>
      </c>
      <c r="G945">
        <v>3.7</v>
      </c>
      <c r="H945">
        <v>976</v>
      </c>
    </row>
    <row r="946" spans="1:8" x14ac:dyDescent="0.25">
      <c r="A946" s="1" t="s">
        <v>1881</v>
      </c>
      <c r="B946" s="1" t="s">
        <v>1882</v>
      </c>
      <c r="C946" s="1" t="s">
        <v>2750</v>
      </c>
      <c r="D946" s="1" t="s">
        <v>2853</v>
      </c>
      <c r="E946">
        <v>5000</v>
      </c>
      <c r="F946">
        <v>0.61</v>
      </c>
      <c r="G946">
        <v>4.0999999999999996</v>
      </c>
      <c r="H946">
        <v>4927</v>
      </c>
    </row>
    <row r="947" spans="1:8" x14ac:dyDescent="0.25">
      <c r="A947" s="1" t="s">
        <v>1883</v>
      </c>
      <c r="B947" s="1" t="s">
        <v>1884</v>
      </c>
      <c r="C947" s="1" t="s">
        <v>2750</v>
      </c>
      <c r="D947" s="1" t="s">
        <v>2838</v>
      </c>
      <c r="E947">
        <v>1695</v>
      </c>
      <c r="F947">
        <v>0.12</v>
      </c>
      <c r="G947">
        <v>4.4000000000000004</v>
      </c>
      <c r="H947">
        <v>3543</v>
      </c>
    </row>
    <row r="948" spans="1:8" x14ac:dyDescent="0.25">
      <c r="A948" s="1" t="s">
        <v>1885</v>
      </c>
      <c r="B948" s="1" t="s">
        <v>1886</v>
      </c>
      <c r="C948" s="1" t="s">
        <v>2750</v>
      </c>
      <c r="D948" s="1" t="s">
        <v>2836</v>
      </c>
      <c r="E948">
        <v>3945</v>
      </c>
      <c r="F948">
        <v>0.37</v>
      </c>
      <c r="G948">
        <v>3.8</v>
      </c>
      <c r="H948">
        <v>2732</v>
      </c>
    </row>
    <row r="949" spans="1:8" x14ac:dyDescent="0.25">
      <c r="A949" s="1" t="s">
        <v>1887</v>
      </c>
      <c r="B949" s="1" t="s">
        <v>1888</v>
      </c>
      <c r="C949" s="1" t="s">
        <v>2750</v>
      </c>
      <c r="D949" s="1" t="s">
        <v>2854</v>
      </c>
      <c r="E949">
        <v>2099</v>
      </c>
      <c r="F949">
        <v>0.21</v>
      </c>
      <c r="G949">
        <v>4</v>
      </c>
      <c r="H949">
        <v>14368</v>
      </c>
    </row>
    <row r="950" spans="1:8" x14ac:dyDescent="0.25">
      <c r="A950" s="1" t="s">
        <v>1889</v>
      </c>
      <c r="B950" s="1" t="s">
        <v>1890</v>
      </c>
      <c r="C950" s="1" t="s">
        <v>2750</v>
      </c>
      <c r="D950" s="1" t="s">
        <v>2841</v>
      </c>
      <c r="E950">
        <v>5295</v>
      </c>
      <c r="F950">
        <v>0.39</v>
      </c>
      <c r="G950">
        <v>4.2</v>
      </c>
      <c r="H950">
        <v>39724</v>
      </c>
    </row>
    <row r="951" spans="1:8" x14ac:dyDescent="0.25">
      <c r="A951" s="1" t="s">
        <v>1891</v>
      </c>
      <c r="B951" s="1" t="s">
        <v>1892</v>
      </c>
      <c r="C951" s="1" t="s">
        <v>2750</v>
      </c>
      <c r="D951" s="1" t="s">
        <v>2841</v>
      </c>
      <c r="E951">
        <v>3595</v>
      </c>
      <c r="F951">
        <v>0.5</v>
      </c>
      <c r="G951">
        <v>3.8</v>
      </c>
      <c r="H951">
        <v>9791</v>
      </c>
    </row>
    <row r="952" spans="1:8" x14ac:dyDescent="0.25">
      <c r="A952" s="1" t="s">
        <v>1893</v>
      </c>
      <c r="B952" s="1" t="s">
        <v>1894</v>
      </c>
      <c r="C952" s="1" t="s">
        <v>2750</v>
      </c>
      <c r="D952" s="1" t="s">
        <v>2835</v>
      </c>
      <c r="E952">
        <v>1699</v>
      </c>
      <c r="F952">
        <v>0.26</v>
      </c>
      <c r="G952">
        <v>4.2</v>
      </c>
      <c r="H952">
        <v>2891</v>
      </c>
    </row>
    <row r="953" spans="1:8" x14ac:dyDescent="0.25">
      <c r="A953" s="1" t="s">
        <v>1895</v>
      </c>
      <c r="B953" s="1" t="s">
        <v>1896</v>
      </c>
      <c r="C953" s="1" t="s">
        <v>2750</v>
      </c>
      <c r="D953" s="1" t="s">
        <v>2836</v>
      </c>
      <c r="E953">
        <v>1129</v>
      </c>
      <c r="F953">
        <v>0.34</v>
      </c>
      <c r="G953">
        <v>4</v>
      </c>
      <c r="H953">
        <v>2446</v>
      </c>
    </row>
    <row r="954" spans="1:8" x14ac:dyDescent="0.25">
      <c r="A954" s="1" t="s">
        <v>1897</v>
      </c>
      <c r="B954" s="1" t="s">
        <v>1898</v>
      </c>
      <c r="C954" s="1" t="s">
        <v>2750</v>
      </c>
      <c r="D954" s="1" t="s">
        <v>2844</v>
      </c>
      <c r="E954">
        <v>5795</v>
      </c>
      <c r="F954">
        <v>0.4</v>
      </c>
      <c r="G954">
        <v>3.9</v>
      </c>
      <c r="H954">
        <v>25340</v>
      </c>
    </row>
    <row r="955" spans="1:8" x14ac:dyDescent="0.25">
      <c r="A955" s="1" t="s">
        <v>1899</v>
      </c>
      <c r="B955" s="1" t="s">
        <v>1900</v>
      </c>
      <c r="C955" s="1" t="s">
        <v>2750</v>
      </c>
      <c r="D955" s="1" t="s">
        <v>2855</v>
      </c>
      <c r="E955">
        <v>999</v>
      </c>
      <c r="F955">
        <v>0.62</v>
      </c>
      <c r="G955">
        <v>4.3</v>
      </c>
      <c r="H955">
        <v>3096</v>
      </c>
    </row>
    <row r="956" spans="1:8" x14ac:dyDescent="0.25">
      <c r="A956" s="1" t="s">
        <v>1901</v>
      </c>
      <c r="B956" s="1" t="s">
        <v>1902</v>
      </c>
      <c r="C956" s="1" t="s">
        <v>2750</v>
      </c>
      <c r="D956" s="1" t="s">
        <v>2836</v>
      </c>
      <c r="E956">
        <v>2400</v>
      </c>
      <c r="F956">
        <v>0.54</v>
      </c>
      <c r="G956">
        <v>3.8</v>
      </c>
      <c r="H956">
        <v>4</v>
      </c>
    </row>
    <row r="957" spans="1:8" x14ac:dyDescent="0.25">
      <c r="A957" s="1" t="s">
        <v>1903</v>
      </c>
      <c r="B957" s="1" t="s">
        <v>1904</v>
      </c>
      <c r="C957" s="1" t="s">
        <v>2750</v>
      </c>
      <c r="D957" s="1" t="s">
        <v>2847</v>
      </c>
      <c r="E957">
        <v>1299</v>
      </c>
      <c r="F957">
        <v>0.42</v>
      </c>
      <c r="G957">
        <v>4</v>
      </c>
      <c r="H957">
        <v>119</v>
      </c>
    </row>
    <row r="958" spans="1:8" x14ac:dyDescent="0.25">
      <c r="A958" s="1" t="s">
        <v>1905</v>
      </c>
      <c r="B958" s="1" t="s">
        <v>1906</v>
      </c>
      <c r="C958" s="1" t="s">
        <v>2750</v>
      </c>
      <c r="D958" s="1" t="s">
        <v>2856</v>
      </c>
      <c r="E958">
        <v>1299</v>
      </c>
      <c r="F958">
        <v>0</v>
      </c>
      <c r="G958">
        <v>4.2</v>
      </c>
      <c r="H958">
        <v>40106</v>
      </c>
    </row>
    <row r="959" spans="1:8" x14ac:dyDescent="0.25">
      <c r="A959" s="1" t="s">
        <v>1907</v>
      </c>
      <c r="B959" s="1" t="s">
        <v>1908</v>
      </c>
      <c r="C959" s="1" t="s">
        <v>2750</v>
      </c>
      <c r="D959" s="1" t="s">
        <v>2843</v>
      </c>
      <c r="E959">
        <v>1090</v>
      </c>
      <c r="F959">
        <v>0.5</v>
      </c>
      <c r="G959">
        <v>4.2</v>
      </c>
      <c r="H959">
        <v>13029</v>
      </c>
    </row>
    <row r="960" spans="1:8" x14ac:dyDescent="0.25">
      <c r="A960" s="1" t="s">
        <v>1909</v>
      </c>
      <c r="B960" s="1" t="s">
        <v>1910</v>
      </c>
      <c r="C960" s="1" t="s">
        <v>2750</v>
      </c>
      <c r="D960" s="1" t="s">
        <v>2837</v>
      </c>
      <c r="E960">
        <v>2000</v>
      </c>
      <c r="F960">
        <v>0.55000000000000004</v>
      </c>
      <c r="G960">
        <v>3.6</v>
      </c>
      <c r="H960">
        <v>291</v>
      </c>
    </row>
    <row r="961" spans="1:8" x14ac:dyDescent="0.25">
      <c r="A961" s="1" t="s">
        <v>1911</v>
      </c>
      <c r="B961" s="1" t="s">
        <v>1912</v>
      </c>
      <c r="C961" s="1" t="s">
        <v>2750</v>
      </c>
      <c r="D961" s="1" t="s">
        <v>2843</v>
      </c>
      <c r="E961">
        <v>1545</v>
      </c>
      <c r="F961">
        <v>0.14000000000000001</v>
      </c>
      <c r="G961">
        <v>4.3</v>
      </c>
      <c r="H961">
        <v>15453</v>
      </c>
    </row>
    <row r="962" spans="1:8" x14ac:dyDescent="0.25">
      <c r="A962" s="1" t="s">
        <v>1913</v>
      </c>
      <c r="B962" s="1" t="s">
        <v>1914</v>
      </c>
      <c r="C962" s="1" t="s">
        <v>2750</v>
      </c>
      <c r="D962" s="1" t="s">
        <v>2838</v>
      </c>
      <c r="E962">
        <v>1999</v>
      </c>
      <c r="F962">
        <v>0.45</v>
      </c>
      <c r="G962">
        <v>4</v>
      </c>
      <c r="H962">
        <v>604</v>
      </c>
    </row>
    <row r="963" spans="1:8" x14ac:dyDescent="0.25">
      <c r="A963" s="1" t="s">
        <v>1915</v>
      </c>
      <c r="B963" s="1" t="s">
        <v>1916</v>
      </c>
      <c r="C963" s="1" t="s">
        <v>2750</v>
      </c>
      <c r="D963" s="1" t="s">
        <v>2843</v>
      </c>
      <c r="E963">
        <v>875</v>
      </c>
      <c r="F963">
        <v>0.11</v>
      </c>
      <c r="G963">
        <v>4.2</v>
      </c>
      <c r="H963">
        <v>46647</v>
      </c>
    </row>
    <row r="964" spans="1:8" x14ac:dyDescent="0.25">
      <c r="A964" s="1" t="s">
        <v>1917</v>
      </c>
      <c r="B964" s="1" t="s">
        <v>1918</v>
      </c>
      <c r="C964" s="1" t="s">
        <v>2750</v>
      </c>
      <c r="D964" s="1" t="s">
        <v>2848</v>
      </c>
      <c r="E964">
        <v>15270</v>
      </c>
      <c r="F964">
        <v>0.59</v>
      </c>
      <c r="G964">
        <v>4.0999999999999996</v>
      </c>
      <c r="H964">
        <v>3233</v>
      </c>
    </row>
    <row r="965" spans="1:8" x14ac:dyDescent="0.25">
      <c r="A965" s="1" t="s">
        <v>1919</v>
      </c>
      <c r="B965" s="1" t="s">
        <v>1920</v>
      </c>
      <c r="C965" s="1" t="s">
        <v>2750</v>
      </c>
      <c r="D965" s="1" t="s">
        <v>2852</v>
      </c>
      <c r="E965">
        <v>4195</v>
      </c>
      <c r="F965">
        <v>0.24</v>
      </c>
      <c r="G965">
        <v>4</v>
      </c>
      <c r="H965">
        <v>1282</v>
      </c>
    </row>
    <row r="966" spans="1:8" x14ac:dyDescent="0.25">
      <c r="A966" s="1" t="s">
        <v>1921</v>
      </c>
      <c r="B966" s="1" t="s">
        <v>1922</v>
      </c>
      <c r="C966" s="1" t="s">
        <v>2750</v>
      </c>
      <c r="D966" s="1" t="s">
        <v>2836</v>
      </c>
      <c r="E966">
        <v>1989</v>
      </c>
      <c r="F966">
        <v>0.6</v>
      </c>
      <c r="G966">
        <v>4.3</v>
      </c>
      <c r="H966">
        <v>70</v>
      </c>
    </row>
    <row r="967" spans="1:8" x14ac:dyDescent="0.25">
      <c r="A967" s="1" t="s">
        <v>1923</v>
      </c>
      <c r="B967" s="1" t="s">
        <v>1924</v>
      </c>
      <c r="C967" s="1" t="s">
        <v>2750</v>
      </c>
      <c r="D967" s="1" t="s">
        <v>2853</v>
      </c>
      <c r="E967">
        <v>5000</v>
      </c>
      <c r="F967">
        <v>0.46</v>
      </c>
      <c r="G967">
        <v>4</v>
      </c>
      <c r="H967">
        <v>26164</v>
      </c>
    </row>
    <row r="968" spans="1:8" x14ac:dyDescent="0.25">
      <c r="A968" s="1" t="s">
        <v>1925</v>
      </c>
      <c r="B968" s="1" t="s">
        <v>1926</v>
      </c>
      <c r="C968" s="1" t="s">
        <v>2750</v>
      </c>
      <c r="D968" s="1" t="s">
        <v>2843</v>
      </c>
      <c r="E968">
        <v>990</v>
      </c>
      <c r="F968">
        <v>0.39</v>
      </c>
      <c r="G968">
        <v>3.9</v>
      </c>
      <c r="H968">
        <v>16166</v>
      </c>
    </row>
    <row r="969" spans="1:8" x14ac:dyDescent="0.25">
      <c r="A969" s="1" t="s">
        <v>1927</v>
      </c>
      <c r="B969" s="1" t="s">
        <v>1928</v>
      </c>
      <c r="C969" s="1" t="s">
        <v>2750</v>
      </c>
      <c r="D969" s="1" t="s">
        <v>2847</v>
      </c>
      <c r="E969">
        <v>1111</v>
      </c>
      <c r="F969">
        <v>0.33</v>
      </c>
      <c r="G969">
        <v>4.2</v>
      </c>
      <c r="H969">
        <v>35693</v>
      </c>
    </row>
    <row r="970" spans="1:8" x14ac:dyDescent="0.25">
      <c r="A970" s="1" t="s">
        <v>1929</v>
      </c>
      <c r="B970" s="1" t="s">
        <v>1930</v>
      </c>
      <c r="C970" s="1" t="s">
        <v>2750</v>
      </c>
      <c r="D970" s="1" t="s">
        <v>2848</v>
      </c>
      <c r="E970">
        <v>10400</v>
      </c>
      <c r="F970">
        <v>0.4</v>
      </c>
      <c r="G970">
        <v>4.0999999999999996</v>
      </c>
      <c r="H970">
        <v>14391</v>
      </c>
    </row>
    <row r="971" spans="1:8" x14ac:dyDescent="0.25">
      <c r="A971" s="1" t="s">
        <v>1931</v>
      </c>
      <c r="B971" s="1" t="s">
        <v>1932</v>
      </c>
      <c r="C971" s="1" t="s">
        <v>2750</v>
      </c>
      <c r="D971" s="1" t="s">
        <v>2857</v>
      </c>
      <c r="E971">
        <v>2490</v>
      </c>
      <c r="F971">
        <v>0.27</v>
      </c>
      <c r="G971">
        <v>4.4000000000000004</v>
      </c>
      <c r="H971">
        <v>7946</v>
      </c>
    </row>
    <row r="972" spans="1:8" x14ac:dyDescent="0.25">
      <c r="A972" s="1" t="s">
        <v>1933</v>
      </c>
      <c r="B972" s="1" t="s">
        <v>1934</v>
      </c>
      <c r="C972" s="1" t="s">
        <v>2750</v>
      </c>
      <c r="D972" s="1" t="s">
        <v>2847</v>
      </c>
      <c r="E972">
        <v>1900</v>
      </c>
      <c r="F972">
        <v>0.37</v>
      </c>
      <c r="G972">
        <v>4</v>
      </c>
      <c r="H972">
        <v>1765</v>
      </c>
    </row>
    <row r="973" spans="1:8" x14ac:dyDescent="0.25">
      <c r="A973" s="1" t="s">
        <v>1935</v>
      </c>
      <c r="B973" s="1" t="s">
        <v>1936</v>
      </c>
      <c r="C973" s="1" t="s">
        <v>2750</v>
      </c>
      <c r="D973" s="1" t="s">
        <v>2844</v>
      </c>
      <c r="E973">
        <v>6295</v>
      </c>
      <c r="F973">
        <v>0.48</v>
      </c>
      <c r="G973">
        <v>3.8</v>
      </c>
      <c r="H973">
        <v>14062</v>
      </c>
    </row>
    <row r="974" spans="1:8" x14ac:dyDescent="0.25">
      <c r="A974" s="1" t="s">
        <v>1937</v>
      </c>
      <c r="B974" s="1" t="s">
        <v>1938</v>
      </c>
      <c r="C974" s="1" t="s">
        <v>2750</v>
      </c>
      <c r="D974" s="1" t="s">
        <v>2855</v>
      </c>
      <c r="E974">
        <v>999</v>
      </c>
      <c r="F974">
        <v>0.65</v>
      </c>
      <c r="G974">
        <v>4</v>
      </c>
      <c r="H974">
        <v>15646</v>
      </c>
    </row>
    <row r="975" spans="1:8" x14ac:dyDescent="0.25">
      <c r="A975" s="1" t="s">
        <v>1939</v>
      </c>
      <c r="B975" s="1" t="s">
        <v>1940</v>
      </c>
      <c r="C975" s="1" t="s">
        <v>2750</v>
      </c>
      <c r="D975" s="1" t="s">
        <v>2837</v>
      </c>
      <c r="E975">
        <v>1699</v>
      </c>
      <c r="F975">
        <v>0.38</v>
      </c>
      <c r="G975">
        <v>3.1</v>
      </c>
      <c r="H975">
        <v>111</v>
      </c>
    </row>
    <row r="976" spans="1:8" x14ac:dyDescent="0.25">
      <c r="A976" s="1" t="s">
        <v>1941</v>
      </c>
      <c r="B976" s="1" t="s">
        <v>1942</v>
      </c>
      <c r="C976" s="1" t="s">
        <v>2750</v>
      </c>
      <c r="D976" s="1" t="s">
        <v>2858</v>
      </c>
      <c r="E976">
        <v>1500</v>
      </c>
      <c r="F976">
        <v>0.47</v>
      </c>
      <c r="G976">
        <v>4.3</v>
      </c>
      <c r="H976">
        <v>9695</v>
      </c>
    </row>
    <row r="977" spans="1:8" x14ac:dyDescent="0.25">
      <c r="A977" s="1" t="s">
        <v>1943</v>
      </c>
      <c r="B977" s="1" t="s">
        <v>1944</v>
      </c>
      <c r="C977" s="1" t="s">
        <v>2750</v>
      </c>
      <c r="D977" s="1" t="s">
        <v>2848</v>
      </c>
      <c r="E977">
        <v>9650</v>
      </c>
      <c r="F977">
        <v>0.48</v>
      </c>
      <c r="G977">
        <v>4.2</v>
      </c>
      <c r="H977">
        <v>1772</v>
      </c>
    </row>
    <row r="978" spans="1:8" x14ac:dyDescent="0.25">
      <c r="A978" s="1" t="s">
        <v>1945</v>
      </c>
      <c r="B978" s="1" t="s">
        <v>1946</v>
      </c>
      <c r="C978" s="1" t="s">
        <v>2750</v>
      </c>
      <c r="D978" s="1" t="s">
        <v>2844</v>
      </c>
      <c r="E978">
        <v>10590</v>
      </c>
      <c r="F978">
        <v>0.34</v>
      </c>
      <c r="G978">
        <v>4.4000000000000004</v>
      </c>
      <c r="H978">
        <v>11499</v>
      </c>
    </row>
    <row r="979" spans="1:8" x14ac:dyDescent="0.25">
      <c r="A979" s="1" t="s">
        <v>1947</v>
      </c>
      <c r="B979" s="1" t="s">
        <v>1948</v>
      </c>
      <c r="C979" s="1" t="s">
        <v>2750</v>
      </c>
      <c r="D979" s="1" t="s">
        <v>2839</v>
      </c>
      <c r="E979">
        <v>1999</v>
      </c>
      <c r="F979">
        <v>0.6</v>
      </c>
      <c r="G979">
        <v>4.0999999999999996</v>
      </c>
      <c r="H979">
        <v>2162</v>
      </c>
    </row>
    <row r="980" spans="1:8" x14ac:dyDescent="0.25">
      <c r="A980" s="1" t="s">
        <v>1949</v>
      </c>
      <c r="B980" s="1" t="s">
        <v>1950</v>
      </c>
      <c r="C980" s="1" t="s">
        <v>2750</v>
      </c>
      <c r="D980" s="1" t="s">
        <v>2859</v>
      </c>
      <c r="E980">
        <v>89</v>
      </c>
      <c r="F980">
        <v>0</v>
      </c>
      <c r="G980">
        <v>4.2</v>
      </c>
      <c r="H980">
        <v>19621</v>
      </c>
    </row>
    <row r="981" spans="1:8" x14ac:dyDescent="0.25">
      <c r="A981" s="1" t="s">
        <v>1951</v>
      </c>
      <c r="B981" s="1" t="s">
        <v>1952</v>
      </c>
      <c r="C981" s="1" t="s">
        <v>2750</v>
      </c>
      <c r="D981" s="1" t="s">
        <v>2860</v>
      </c>
      <c r="E981">
        <v>2485</v>
      </c>
      <c r="F981">
        <v>0.44</v>
      </c>
      <c r="G981">
        <v>4.0999999999999996</v>
      </c>
      <c r="H981">
        <v>19998</v>
      </c>
    </row>
    <row r="982" spans="1:8" x14ac:dyDescent="0.25">
      <c r="A982" s="1" t="s">
        <v>1953</v>
      </c>
      <c r="B982" s="1" t="s">
        <v>1954</v>
      </c>
      <c r="C982" s="1" t="s">
        <v>2750</v>
      </c>
      <c r="D982" s="1" t="s">
        <v>2851</v>
      </c>
      <c r="E982">
        <v>899</v>
      </c>
      <c r="F982">
        <v>0.61</v>
      </c>
      <c r="G982">
        <v>4.0999999999999996</v>
      </c>
      <c r="H982">
        <v>1051</v>
      </c>
    </row>
    <row r="983" spans="1:8" x14ac:dyDescent="0.25">
      <c r="A983" s="1" t="s">
        <v>1955</v>
      </c>
      <c r="B983" s="1" t="s">
        <v>1956</v>
      </c>
      <c r="C983" s="1" t="s">
        <v>2750</v>
      </c>
      <c r="D983" s="1" t="s">
        <v>2836</v>
      </c>
      <c r="E983">
        <v>3279</v>
      </c>
      <c r="F983">
        <v>0.34</v>
      </c>
      <c r="G983">
        <v>4.0999999999999996</v>
      </c>
      <c r="H983">
        <v>1716</v>
      </c>
    </row>
    <row r="984" spans="1:8" x14ac:dyDescent="0.25">
      <c r="A984" s="1" t="s">
        <v>1957</v>
      </c>
      <c r="B984" s="1" t="s">
        <v>1958</v>
      </c>
      <c r="C984" s="1" t="s">
        <v>2750</v>
      </c>
      <c r="D984" s="1" t="s">
        <v>2861</v>
      </c>
      <c r="E984">
        <v>3799</v>
      </c>
      <c r="F984">
        <v>0.26</v>
      </c>
      <c r="G984">
        <v>3.9</v>
      </c>
      <c r="H984">
        <v>32931</v>
      </c>
    </row>
    <row r="985" spans="1:8" x14ac:dyDescent="0.25">
      <c r="A985" s="1" t="s">
        <v>1959</v>
      </c>
      <c r="B985" s="1" t="s">
        <v>1960</v>
      </c>
      <c r="C985" s="1" t="s">
        <v>2750</v>
      </c>
      <c r="D985" s="1" t="s">
        <v>2835</v>
      </c>
      <c r="E985">
        <v>1249</v>
      </c>
      <c r="F985">
        <v>0.28000000000000003</v>
      </c>
      <c r="G985">
        <v>3.9</v>
      </c>
      <c r="H985">
        <v>17424</v>
      </c>
    </row>
    <row r="986" spans="1:8" x14ac:dyDescent="0.25">
      <c r="A986" s="1" t="s">
        <v>1961</v>
      </c>
      <c r="B986" s="1" t="s">
        <v>1962</v>
      </c>
      <c r="C986" s="1" t="s">
        <v>2750</v>
      </c>
      <c r="D986" s="1" t="s">
        <v>2846</v>
      </c>
      <c r="E986">
        <v>5000</v>
      </c>
      <c r="F986">
        <v>0.5</v>
      </c>
      <c r="G986">
        <v>3.8</v>
      </c>
      <c r="H986">
        <v>1889</v>
      </c>
    </row>
    <row r="987" spans="1:8" x14ac:dyDescent="0.25">
      <c r="A987" s="1" t="s">
        <v>1963</v>
      </c>
      <c r="B987" s="1" t="s">
        <v>1964</v>
      </c>
      <c r="C987" s="1" t="s">
        <v>2750</v>
      </c>
      <c r="D987" s="1" t="s">
        <v>2845</v>
      </c>
      <c r="E987">
        <v>7299</v>
      </c>
      <c r="F987">
        <v>0.51</v>
      </c>
      <c r="G987">
        <v>4</v>
      </c>
      <c r="H987">
        <v>10324</v>
      </c>
    </row>
    <row r="988" spans="1:8" x14ac:dyDescent="0.25">
      <c r="A988" s="1" t="s">
        <v>1965</v>
      </c>
      <c r="B988" s="1" t="s">
        <v>1966</v>
      </c>
      <c r="C988" s="1" t="s">
        <v>2750</v>
      </c>
      <c r="D988" s="1" t="s">
        <v>2843</v>
      </c>
      <c r="E988">
        <v>625</v>
      </c>
      <c r="F988">
        <v>0.2</v>
      </c>
      <c r="G988">
        <v>4.2</v>
      </c>
      <c r="H988">
        <v>5355</v>
      </c>
    </row>
    <row r="989" spans="1:8" x14ac:dyDescent="0.25">
      <c r="A989" s="1" t="s">
        <v>1967</v>
      </c>
      <c r="B989" s="1" t="s">
        <v>1968</v>
      </c>
      <c r="C989" s="1" t="s">
        <v>2750</v>
      </c>
      <c r="D989" s="1" t="s">
        <v>2849</v>
      </c>
      <c r="E989">
        <v>1020</v>
      </c>
      <c r="F989">
        <v>0.36</v>
      </c>
      <c r="G989">
        <v>4.0999999999999996</v>
      </c>
      <c r="H989">
        <v>3366</v>
      </c>
    </row>
    <row r="990" spans="1:8" x14ac:dyDescent="0.25">
      <c r="A990" s="1" t="s">
        <v>1969</v>
      </c>
      <c r="B990" s="1" t="s">
        <v>1970</v>
      </c>
      <c r="C990" s="1" t="s">
        <v>2750</v>
      </c>
      <c r="D990" s="1" t="s">
        <v>2862</v>
      </c>
      <c r="E990">
        <v>8990</v>
      </c>
      <c r="F990">
        <v>0.47</v>
      </c>
      <c r="G990">
        <v>4.3</v>
      </c>
      <c r="H990">
        <v>1017</v>
      </c>
    </row>
    <row r="991" spans="1:8" x14ac:dyDescent="0.25">
      <c r="A991" s="1" t="s">
        <v>1971</v>
      </c>
      <c r="B991" s="1" t="s">
        <v>1972</v>
      </c>
      <c r="C991" s="1" t="s">
        <v>2750</v>
      </c>
      <c r="D991" s="1" t="s">
        <v>2863</v>
      </c>
      <c r="E991">
        <v>1639</v>
      </c>
      <c r="F991">
        <v>0.14000000000000001</v>
      </c>
      <c r="G991">
        <v>3.7</v>
      </c>
      <c r="H991">
        <v>787</v>
      </c>
    </row>
    <row r="992" spans="1:8" x14ac:dyDescent="0.25">
      <c r="A992" s="1" t="s">
        <v>1973</v>
      </c>
      <c r="B992" s="1" t="s">
        <v>1974</v>
      </c>
      <c r="C992" s="1" t="s">
        <v>2750</v>
      </c>
      <c r="D992" s="1" t="s">
        <v>2842</v>
      </c>
      <c r="E992">
        <v>899</v>
      </c>
      <c r="F992">
        <v>0.16</v>
      </c>
      <c r="G992">
        <v>4.2</v>
      </c>
      <c r="H992">
        <v>18462</v>
      </c>
    </row>
    <row r="993" spans="1:8" x14ac:dyDescent="0.25">
      <c r="A993" s="1" t="s">
        <v>1975</v>
      </c>
      <c r="B993" s="1" t="s">
        <v>1976</v>
      </c>
      <c r="C993" s="1" t="s">
        <v>2750</v>
      </c>
      <c r="D993" s="1" t="s">
        <v>2855</v>
      </c>
      <c r="E993">
        <v>1199</v>
      </c>
      <c r="F993">
        <v>0.71</v>
      </c>
      <c r="G993">
        <v>4.3</v>
      </c>
      <c r="H993">
        <v>629</v>
      </c>
    </row>
    <row r="994" spans="1:8" x14ac:dyDescent="0.25">
      <c r="A994" s="1" t="s">
        <v>1977</v>
      </c>
      <c r="B994" s="1" t="s">
        <v>1978</v>
      </c>
      <c r="C994" s="1" t="s">
        <v>2750</v>
      </c>
      <c r="D994" s="1" t="s">
        <v>2839</v>
      </c>
      <c r="E994">
        <v>1899</v>
      </c>
      <c r="F994">
        <v>0.42</v>
      </c>
      <c r="G994">
        <v>4.3</v>
      </c>
      <c r="H994">
        <v>15276</v>
      </c>
    </row>
    <row r="995" spans="1:8" x14ac:dyDescent="0.25">
      <c r="A995" s="1" t="s">
        <v>1979</v>
      </c>
      <c r="B995" s="1" t="s">
        <v>1980</v>
      </c>
      <c r="C995" s="1" t="s">
        <v>2750</v>
      </c>
      <c r="D995" s="1" t="s">
        <v>2850</v>
      </c>
      <c r="E995">
        <v>11595</v>
      </c>
      <c r="F995">
        <v>0.24</v>
      </c>
      <c r="G995">
        <v>4.4000000000000004</v>
      </c>
      <c r="H995">
        <v>2981</v>
      </c>
    </row>
    <row r="996" spans="1:8" x14ac:dyDescent="0.25">
      <c r="A996" s="1" t="s">
        <v>1981</v>
      </c>
      <c r="B996" s="1" t="s">
        <v>1982</v>
      </c>
      <c r="C996" s="1" t="s">
        <v>2750</v>
      </c>
      <c r="D996" s="1" t="s">
        <v>2835</v>
      </c>
      <c r="E996">
        <v>1750</v>
      </c>
      <c r="F996">
        <v>0.23</v>
      </c>
      <c r="G996">
        <v>3.8</v>
      </c>
      <c r="H996">
        <v>2466</v>
      </c>
    </row>
    <row r="997" spans="1:8" x14ac:dyDescent="0.25">
      <c r="A997" s="1" t="s">
        <v>1983</v>
      </c>
      <c r="B997" s="1" t="s">
        <v>1984</v>
      </c>
      <c r="C997" s="1" t="s">
        <v>2750</v>
      </c>
      <c r="D997" s="1" t="s">
        <v>2864</v>
      </c>
      <c r="E997">
        <v>2095</v>
      </c>
      <c r="F997">
        <v>0</v>
      </c>
      <c r="G997">
        <v>4.5</v>
      </c>
      <c r="H997">
        <v>7949</v>
      </c>
    </row>
    <row r="998" spans="1:8" x14ac:dyDescent="0.25">
      <c r="A998" s="1" t="s">
        <v>1985</v>
      </c>
      <c r="B998" s="1" t="s">
        <v>1986</v>
      </c>
      <c r="C998" s="1" t="s">
        <v>2750</v>
      </c>
      <c r="D998" s="1" t="s">
        <v>2836</v>
      </c>
      <c r="E998">
        <v>2300</v>
      </c>
      <c r="F998">
        <v>0.35</v>
      </c>
      <c r="G998">
        <v>3.8</v>
      </c>
      <c r="H998">
        <v>95</v>
      </c>
    </row>
    <row r="999" spans="1:8" x14ac:dyDescent="0.25">
      <c r="A999" s="1" t="s">
        <v>1987</v>
      </c>
      <c r="B999" s="1" t="s">
        <v>1988</v>
      </c>
      <c r="C999" s="1" t="s">
        <v>2750</v>
      </c>
      <c r="D999" s="1" t="s">
        <v>2865</v>
      </c>
      <c r="E999">
        <v>2990</v>
      </c>
      <c r="F999">
        <v>0.26</v>
      </c>
      <c r="G999">
        <v>3.8</v>
      </c>
      <c r="H999">
        <v>1558</v>
      </c>
    </row>
    <row r="1000" spans="1:8" x14ac:dyDescent="0.25">
      <c r="A1000" s="1" t="s">
        <v>1989</v>
      </c>
      <c r="B1000" s="1" t="s">
        <v>1990</v>
      </c>
      <c r="C1000" s="1" t="s">
        <v>2750</v>
      </c>
      <c r="D1000" s="1" t="s">
        <v>2844</v>
      </c>
      <c r="E1000">
        <v>4295</v>
      </c>
      <c r="F1000">
        <v>0.14000000000000001</v>
      </c>
      <c r="G1000">
        <v>4.0999999999999996</v>
      </c>
      <c r="H1000">
        <v>26543</v>
      </c>
    </row>
    <row r="1001" spans="1:8" x14ac:dyDescent="0.25">
      <c r="A1001" s="1" t="s">
        <v>1991</v>
      </c>
      <c r="B1001" s="1" t="s">
        <v>1992</v>
      </c>
      <c r="C1001" s="1" t="s">
        <v>2750</v>
      </c>
      <c r="D1001" s="1" t="s">
        <v>2851</v>
      </c>
      <c r="E1001">
        <v>199</v>
      </c>
      <c r="F1001">
        <v>0.11</v>
      </c>
      <c r="G1001">
        <v>4.0999999999999996</v>
      </c>
      <c r="H1001">
        <v>3688</v>
      </c>
    </row>
    <row r="1002" spans="1:8" x14ac:dyDescent="0.25">
      <c r="A1002" s="1" t="s">
        <v>1993</v>
      </c>
      <c r="B1002" s="1" t="s">
        <v>1994</v>
      </c>
      <c r="C1002" s="1" t="s">
        <v>2750</v>
      </c>
      <c r="D1002" s="1" t="s">
        <v>2844</v>
      </c>
      <c r="E1002">
        <v>2499</v>
      </c>
      <c r="F1002">
        <v>0.54</v>
      </c>
      <c r="G1002">
        <v>3.8</v>
      </c>
      <c r="H1002">
        <v>4383</v>
      </c>
    </row>
    <row r="1003" spans="1:8" x14ac:dyDescent="0.25">
      <c r="A1003" s="1" t="s">
        <v>1995</v>
      </c>
      <c r="B1003" s="1" t="s">
        <v>1996</v>
      </c>
      <c r="C1003" s="1" t="s">
        <v>2750</v>
      </c>
      <c r="D1003" s="1" t="s">
        <v>2866</v>
      </c>
      <c r="E1003">
        <v>499</v>
      </c>
      <c r="F1003">
        <v>0.51</v>
      </c>
      <c r="G1003">
        <v>3.3</v>
      </c>
      <c r="H1003">
        <v>478</v>
      </c>
    </row>
    <row r="1004" spans="1:8" x14ac:dyDescent="0.25">
      <c r="A1004" s="1" t="s">
        <v>1997</v>
      </c>
      <c r="B1004" s="1" t="s">
        <v>1998</v>
      </c>
      <c r="C1004" s="1" t="s">
        <v>2750</v>
      </c>
      <c r="D1004" s="1" t="s">
        <v>2836</v>
      </c>
      <c r="E1004">
        <v>2400</v>
      </c>
      <c r="F1004">
        <v>0.18</v>
      </c>
      <c r="G1004">
        <v>4</v>
      </c>
      <c r="H1004">
        <v>237</v>
      </c>
    </row>
    <row r="1005" spans="1:8" x14ac:dyDescent="0.25">
      <c r="A1005" s="1" t="s">
        <v>1999</v>
      </c>
      <c r="B1005" s="1" t="s">
        <v>2000</v>
      </c>
      <c r="C1005" s="1" t="s">
        <v>2750</v>
      </c>
      <c r="D1005" s="1" t="s">
        <v>2838</v>
      </c>
      <c r="E1005">
        <v>749</v>
      </c>
      <c r="F1005">
        <v>0.56999999999999995</v>
      </c>
      <c r="G1005">
        <v>4.5999999999999996</v>
      </c>
      <c r="H1005">
        <v>124</v>
      </c>
    </row>
    <row r="1006" spans="1:8" x14ac:dyDescent="0.25">
      <c r="A1006" s="1" t="s">
        <v>2001</v>
      </c>
      <c r="B1006" s="1" t="s">
        <v>2002</v>
      </c>
      <c r="C1006" s="1" t="s">
        <v>2750</v>
      </c>
      <c r="D1006" s="1" t="s">
        <v>2835</v>
      </c>
      <c r="E1006">
        <v>1775</v>
      </c>
      <c r="F1006">
        <v>0.16</v>
      </c>
      <c r="G1006">
        <v>3.9</v>
      </c>
      <c r="H1006">
        <v>14667</v>
      </c>
    </row>
    <row r="1007" spans="1:8" x14ac:dyDescent="0.25">
      <c r="A1007" s="1" t="s">
        <v>2003</v>
      </c>
      <c r="B1007" s="1" t="s">
        <v>2004</v>
      </c>
      <c r="C1007" s="1" t="s">
        <v>2750</v>
      </c>
      <c r="D1007" s="1" t="s">
        <v>2838</v>
      </c>
      <c r="E1007">
        <v>1599</v>
      </c>
      <c r="F1007">
        <v>0.71</v>
      </c>
      <c r="G1007">
        <v>3.7</v>
      </c>
      <c r="H1007">
        <v>6</v>
      </c>
    </row>
    <row r="1008" spans="1:8" x14ac:dyDescent="0.25">
      <c r="A1008" s="1" t="s">
        <v>2005</v>
      </c>
      <c r="B1008" s="1" t="s">
        <v>2006</v>
      </c>
      <c r="C1008" s="1" t="s">
        <v>2750</v>
      </c>
      <c r="D1008" s="1" t="s">
        <v>2864</v>
      </c>
      <c r="E1008">
        <v>1795</v>
      </c>
      <c r="F1008">
        <v>0.39</v>
      </c>
      <c r="G1008">
        <v>4.2</v>
      </c>
      <c r="H1008">
        <v>4244</v>
      </c>
    </row>
    <row r="1009" spans="1:8" x14ac:dyDescent="0.25">
      <c r="A1009" s="1" t="s">
        <v>2007</v>
      </c>
      <c r="B1009" s="1" t="s">
        <v>2008</v>
      </c>
      <c r="C1009" s="1" t="s">
        <v>2750</v>
      </c>
      <c r="D1009" s="1" t="s">
        <v>2837</v>
      </c>
      <c r="E1009">
        <v>15999</v>
      </c>
      <c r="F1009">
        <v>0.4</v>
      </c>
      <c r="G1009">
        <v>4.0999999999999996</v>
      </c>
      <c r="H1009">
        <v>1017</v>
      </c>
    </row>
    <row r="1010" spans="1:8" x14ac:dyDescent="0.25">
      <c r="A1010" s="1" t="s">
        <v>2009</v>
      </c>
      <c r="B1010" s="1" t="s">
        <v>2010</v>
      </c>
      <c r="C1010" s="1" t="s">
        <v>2750</v>
      </c>
      <c r="D1010" s="1" t="s">
        <v>2867</v>
      </c>
      <c r="E1010">
        <v>1490</v>
      </c>
      <c r="F1010">
        <v>0.33</v>
      </c>
      <c r="G1010">
        <v>4.0999999999999996</v>
      </c>
      <c r="H1010">
        <v>12999</v>
      </c>
    </row>
    <row r="1011" spans="1:8" x14ac:dyDescent="0.25">
      <c r="A1011" s="1" t="s">
        <v>2011</v>
      </c>
      <c r="B1011" s="1" t="s">
        <v>2012</v>
      </c>
      <c r="C1011" s="1" t="s">
        <v>2750</v>
      </c>
      <c r="D1011" s="1" t="s">
        <v>2847</v>
      </c>
      <c r="E1011">
        <v>1999</v>
      </c>
      <c r="F1011">
        <v>0.35</v>
      </c>
      <c r="G1011">
        <v>3.8</v>
      </c>
      <c r="H1011">
        <v>311</v>
      </c>
    </row>
    <row r="1012" spans="1:8" x14ac:dyDescent="0.25">
      <c r="A1012" s="1" t="s">
        <v>2013</v>
      </c>
      <c r="B1012" s="1" t="s">
        <v>2014</v>
      </c>
      <c r="C1012" s="1" t="s">
        <v>2750</v>
      </c>
      <c r="D1012" s="1" t="s">
        <v>2868</v>
      </c>
      <c r="E1012">
        <v>499</v>
      </c>
      <c r="F1012">
        <v>0.41</v>
      </c>
      <c r="G1012">
        <v>4.0999999999999996</v>
      </c>
      <c r="H1012">
        <v>4238</v>
      </c>
    </row>
    <row r="1013" spans="1:8" x14ac:dyDescent="0.25">
      <c r="A1013" s="1" t="s">
        <v>2015</v>
      </c>
      <c r="B1013" s="1" t="s">
        <v>2016</v>
      </c>
      <c r="C1013" s="1" t="s">
        <v>2750</v>
      </c>
      <c r="D1013" s="1" t="s">
        <v>2859</v>
      </c>
      <c r="E1013">
        <v>299</v>
      </c>
      <c r="F1013">
        <v>0.46</v>
      </c>
      <c r="G1013">
        <v>4.5999999999999996</v>
      </c>
      <c r="H1013">
        <v>2781</v>
      </c>
    </row>
    <row r="1014" spans="1:8" x14ac:dyDescent="0.25">
      <c r="A1014" s="1" t="s">
        <v>2017</v>
      </c>
      <c r="B1014" s="1" t="s">
        <v>2018</v>
      </c>
      <c r="C1014" s="1" t="s">
        <v>2750</v>
      </c>
      <c r="D1014" s="1" t="s">
        <v>2869</v>
      </c>
      <c r="E1014">
        <v>600</v>
      </c>
      <c r="F1014">
        <v>0</v>
      </c>
      <c r="G1014">
        <v>4.0999999999999996</v>
      </c>
      <c r="H1014">
        <v>10907</v>
      </c>
    </row>
    <row r="1015" spans="1:8" x14ac:dyDescent="0.25">
      <c r="A1015" s="1" t="s">
        <v>2019</v>
      </c>
      <c r="B1015" s="1" t="s">
        <v>2020</v>
      </c>
      <c r="C1015" s="1" t="s">
        <v>2750</v>
      </c>
      <c r="D1015" s="1" t="s">
        <v>2870</v>
      </c>
      <c r="E1015">
        <v>1130</v>
      </c>
      <c r="F1015">
        <v>0</v>
      </c>
      <c r="G1015">
        <v>4.2</v>
      </c>
      <c r="H1015">
        <v>13250</v>
      </c>
    </row>
    <row r="1016" spans="1:8" x14ac:dyDescent="0.25">
      <c r="A1016" s="1" t="s">
        <v>2021</v>
      </c>
      <c r="B1016" s="1" t="s">
        <v>2022</v>
      </c>
      <c r="C1016" s="1" t="s">
        <v>2750</v>
      </c>
      <c r="D1016" s="1" t="s">
        <v>2844</v>
      </c>
      <c r="E1016">
        <v>6295</v>
      </c>
      <c r="F1016">
        <v>0.48</v>
      </c>
      <c r="G1016">
        <v>3.9</v>
      </c>
      <c r="H1016">
        <v>43070</v>
      </c>
    </row>
    <row r="1017" spans="1:8" x14ac:dyDescent="0.25">
      <c r="A1017" s="1" t="s">
        <v>2023</v>
      </c>
      <c r="B1017" s="1" t="s">
        <v>2024</v>
      </c>
      <c r="C1017" s="1" t="s">
        <v>2750</v>
      </c>
      <c r="D1017" s="1" t="s">
        <v>2844</v>
      </c>
      <c r="E1017">
        <v>9455</v>
      </c>
      <c r="F1017">
        <v>0.62</v>
      </c>
      <c r="G1017">
        <v>4.0999999999999996</v>
      </c>
      <c r="H1017">
        <v>11828</v>
      </c>
    </row>
    <row r="1018" spans="1:8" x14ac:dyDescent="0.25">
      <c r="A1018" s="1" t="s">
        <v>2025</v>
      </c>
      <c r="B1018" s="1" t="s">
        <v>2026</v>
      </c>
      <c r="C1018" s="1" t="s">
        <v>2750</v>
      </c>
      <c r="D1018" s="1" t="s">
        <v>2855</v>
      </c>
      <c r="E1018">
        <v>699</v>
      </c>
      <c r="F1018">
        <v>0.47</v>
      </c>
      <c r="G1018">
        <v>4.0999999999999996</v>
      </c>
      <c r="H1018">
        <v>1240</v>
      </c>
    </row>
    <row r="1019" spans="1:8" x14ac:dyDescent="0.25">
      <c r="A1019" s="1" t="s">
        <v>2027</v>
      </c>
      <c r="B1019" s="1" t="s">
        <v>2028</v>
      </c>
      <c r="C1019" s="1" t="s">
        <v>2750</v>
      </c>
      <c r="D1019" s="1" t="s">
        <v>2844</v>
      </c>
      <c r="E1019">
        <v>4999</v>
      </c>
      <c r="F1019">
        <v>0.36</v>
      </c>
      <c r="G1019">
        <v>4</v>
      </c>
      <c r="H1019">
        <v>20869</v>
      </c>
    </row>
    <row r="1020" spans="1:8" x14ac:dyDescent="0.25">
      <c r="A1020" s="1" t="s">
        <v>2029</v>
      </c>
      <c r="B1020" s="1" t="s">
        <v>2030</v>
      </c>
      <c r="C1020" s="1" t="s">
        <v>2750</v>
      </c>
      <c r="D1020" s="1" t="s">
        <v>2871</v>
      </c>
      <c r="E1020">
        <v>2900</v>
      </c>
      <c r="F1020">
        <v>0.45</v>
      </c>
      <c r="G1020">
        <v>3.7</v>
      </c>
      <c r="H1020">
        <v>441</v>
      </c>
    </row>
    <row r="1021" spans="1:8" x14ac:dyDescent="0.25">
      <c r="A1021" s="1" t="s">
        <v>2031</v>
      </c>
      <c r="B1021" s="1" t="s">
        <v>2032</v>
      </c>
      <c r="C1021" s="1" t="s">
        <v>2750</v>
      </c>
      <c r="D1021" s="1" t="s">
        <v>2842</v>
      </c>
      <c r="E1021">
        <v>2499</v>
      </c>
      <c r="F1021">
        <v>0.2</v>
      </c>
      <c r="G1021">
        <v>4.0999999999999996</v>
      </c>
      <c r="H1021">
        <v>1034</v>
      </c>
    </row>
    <row r="1022" spans="1:8" x14ac:dyDescent="0.25">
      <c r="A1022" s="1" t="s">
        <v>2033</v>
      </c>
      <c r="B1022" s="1" t="s">
        <v>2034</v>
      </c>
      <c r="C1022" s="1" t="s">
        <v>2750</v>
      </c>
      <c r="D1022" s="1" t="s">
        <v>2843</v>
      </c>
      <c r="E1022">
        <v>1190</v>
      </c>
      <c r="F1022">
        <v>0.48</v>
      </c>
      <c r="G1022">
        <v>4.0999999999999996</v>
      </c>
      <c r="H1022">
        <v>37126</v>
      </c>
    </row>
    <row r="1023" spans="1:8" x14ac:dyDescent="0.25">
      <c r="A1023" s="1" t="s">
        <v>2035</v>
      </c>
      <c r="B1023" s="1" t="s">
        <v>2036</v>
      </c>
      <c r="C1023" s="1" t="s">
        <v>2750</v>
      </c>
      <c r="D1023" s="1" t="s">
        <v>2842</v>
      </c>
      <c r="E1023">
        <v>2100</v>
      </c>
      <c r="F1023">
        <v>0.28999999999999998</v>
      </c>
      <c r="G1023">
        <v>4.0999999999999996</v>
      </c>
      <c r="H1023">
        <v>6355</v>
      </c>
    </row>
    <row r="1024" spans="1:8" x14ac:dyDescent="0.25">
      <c r="A1024" s="1" t="s">
        <v>2037</v>
      </c>
      <c r="B1024" s="1" t="s">
        <v>2038</v>
      </c>
      <c r="C1024" s="1" t="s">
        <v>2750</v>
      </c>
      <c r="D1024" s="1" t="s">
        <v>2859</v>
      </c>
      <c r="E1024">
        <v>499</v>
      </c>
      <c r="F1024">
        <v>0.6</v>
      </c>
      <c r="G1024">
        <v>3.3</v>
      </c>
      <c r="H1024">
        <v>12</v>
      </c>
    </row>
    <row r="1025" spans="1:8" x14ac:dyDescent="0.25">
      <c r="A1025" s="1" t="s">
        <v>2039</v>
      </c>
      <c r="B1025" s="1" t="s">
        <v>2040</v>
      </c>
      <c r="C1025" s="1" t="s">
        <v>2750</v>
      </c>
      <c r="D1025" s="1" t="s">
        <v>2849</v>
      </c>
      <c r="E1025">
        <v>825</v>
      </c>
      <c r="F1025">
        <v>0.26</v>
      </c>
      <c r="G1025">
        <v>4.0999999999999996</v>
      </c>
      <c r="H1025">
        <v>13165</v>
      </c>
    </row>
    <row r="1026" spans="1:8" x14ac:dyDescent="0.25">
      <c r="A1026" s="1" t="s">
        <v>2041</v>
      </c>
      <c r="B1026" s="1" t="s">
        <v>2042</v>
      </c>
      <c r="C1026" s="1" t="s">
        <v>2750</v>
      </c>
      <c r="D1026" s="1" t="s">
        <v>2857</v>
      </c>
      <c r="E1026">
        <v>1499</v>
      </c>
      <c r="F1026">
        <v>0.33</v>
      </c>
      <c r="G1026">
        <v>4.0999999999999996</v>
      </c>
      <c r="H1026">
        <v>1646</v>
      </c>
    </row>
    <row r="1027" spans="1:8" x14ac:dyDescent="0.25">
      <c r="A1027" s="1" t="s">
        <v>2043</v>
      </c>
      <c r="B1027" s="1" t="s">
        <v>2044</v>
      </c>
      <c r="C1027" s="1" t="s">
        <v>2750</v>
      </c>
      <c r="D1027" s="1" t="s">
        <v>2861</v>
      </c>
      <c r="E1027">
        <v>9995</v>
      </c>
      <c r="F1027">
        <v>0.1</v>
      </c>
      <c r="G1027">
        <v>4.4000000000000004</v>
      </c>
      <c r="H1027">
        <v>17994</v>
      </c>
    </row>
    <row r="1028" spans="1:8" x14ac:dyDescent="0.25">
      <c r="A1028" s="1" t="s">
        <v>2045</v>
      </c>
      <c r="B1028" s="1" t="s">
        <v>2046</v>
      </c>
      <c r="C1028" s="1" t="s">
        <v>2750</v>
      </c>
      <c r="D1028" s="1" t="s">
        <v>2838</v>
      </c>
      <c r="E1028">
        <v>999</v>
      </c>
      <c r="F1028">
        <v>0.55000000000000004</v>
      </c>
      <c r="G1028">
        <v>4.3</v>
      </c>
      <c r="H1028">
        <v>610</v>
      </c>
    </row>
    <row r="1029" spans="1:8" x14ac:dyDescent="0.25">
      <c r="A1029" s="1" t="s">
        <v>2047</v>
      </c>
      <c r="B1029" s="1" t="s">
        <v>2048</v>
      </c>
      <c r="C1029" s="1" t="s">
        <v>2750</v>
      </c>
      <c r="D1029" s="1" t="s">
        <v>2844</v>
      </c>
      <c r="E1029">
        <v>6000</v>
      </c>
      <c r="F1029">
        <v>0.59</v>
      </c>
      <c r="G1029">
        <v>4.0999999999999996</v>
      </c>
      <c r="H1029">
        <v>8866</v>
      </c>
    </row>
    <row r="1030" spans="1:8" x14ac:dyDescent="0.25">
      <c r="A1030" s="1" t="s">
        <v>2049</v>
      </c>
      <c r="B1030" s="1" t="s">
        <v>2050</v>
      </c>
      <c r="C1030" s="1" t="s">
        <v>2750</v>
      </c>
      <c r="D1030" s="1" t="s">
        <v>2871</v>
      </c>
      <c r="E1030">
        <v>3945</v>
      </c>
      <c r="F1030">
        <v>0.31</v>
      </c>
      <c r="G1030">
        <v>3.7</v>
      </c>
      <c r="H1030">
        <v>13406</v>
      </c>
    </row>
    <row r="1031" spans="1:8" x14ac:dyDescent="0.25">
      <c r="A1031" s="1" t="s">
        <v>2051</v>
      </c>
      <c r="B1031" s="1" t="s">
        <v>2052</v>
      </c>
      <c r="C1031" s="1" t="s">
        <v>2750</v>
      </c>
      <c r="D1031" s="1" t="s">
        <v>2845</v>
      </c>
      <c r="E1031">
        <v>1999</v>
      </c>
      <c r="F1031">
        <v>0.28000000000000003</v>
      </c>
      <c r="G1031">
        <v>4.8</v>
      </c>
      <c r="H1031">
        <v>53803</v>
      </c>
    </row>
    <row r="1032" spans="1:8" x14ac:dyDescent="0.25">
      <c r="A1032" s="1" t="s">
        <v>2053</v>
      </c>
      <c r="B1032" s="1" t="s">
        <v>2054</v>
      </c>
      <c r="C1032" s="1" t="s">
        <v>2750</v>
      </c>
      <c r="D1032" s="1" t="s">
        <v>2842</v>
      </c>
      <c r="E1032">
        <v>3499</v>
      </c>
      <c r="F1032">
        <v>0.2</v>
      </c>
      <c r="G1032">
        <v>4.5</v>
      </c>
      <c r="H1032">
        <v>546</v>
      </c>
    </row>
    <row r="1033" spans="1:8" x14ac:dyDescent="0.25">
      <c r="A1033" s="1" t="s">
        <v>2055</v>
      </c>
      <c r="B1033" s="1" t="s">
        <v>2056</v>
      </c>
      <c r="C1033" s="1" t="s">
        <v>2750</v>
      </c>
      <c r="D1033" s="1" t="s">
        <v>2845</v>
      </c>
      <c r="E1033">
        <v>5550</v>
      </c>
      <c r="F1033">
        <v>0.62</v>
      </c>
      <c r="G1033">
        <v>4</v>
      </c>
      <c r="H1033">
        <v>5292</v>
      </c>
    </row>
    <row r="1034" spans="1:8" x14ac:dyDescent="0.25">
      <c r="A1034" s="1" t="s">
        <v>2057</v>
      </c>
      <c r="B1034" s="1" t="s">
        <v>2058</v>
      </c>
      <c r="C1034" s="1" t="s">
        <v>2750</v>
      </c>
      <c r="D1034" s="1" t="s">
        <v>2845</v>
      </c>
      <c r="E1034">
        <v>4590</v>
      </c>
      <c r="F1034">
        <v>0.48</v>
      </c>
      <c r="G1034">
        <v>4.0999999999999996</v>
      </c>
      <c r="H1034">
        <v>444</v>
      </c>
    </row>
    <row r="1035" spans="1:8" x14ac:dyDescent="0.25">
      <c r="A1035" s="1" t="s">
        <v>2059</v>
      </c>
      <c r="B1035" s="1" t="s">
        <v>2060</v>
      </c>
      <c r="C1035" s="1" t="s">
        <v>2750</v>
      </c>
      <c r="D1035" s="1" t="s">
        <v>2839</v>
      </c>
      <c r="E1035">
        <v>499</v>
      </c>
      <c r="F1035">
        <v>0.38</v>
      </c>
      <c r="G1035">
        <v>3.9</v>
      </c>
      <c r="H1035">
        <v>4584</v>
      </c>
    </row>
    <row r="1036" spans="1:8" x14ac:dyDescent="0.25">
      <c r="A1036" s="1" t="s">
        <v>2061</v>
      </c>
      <c r="B1036" s="1" t="s">
        <v>2062</v>
      </c>
      <c r="C1036" s="1" t="s">
        <v>2750</v>
      </c>
      <c r="D1036" s="1" t="s">
        <v>2845</v>
      </c>
      <c r="E1036">
        <v>4400</v>
      </c>
      <c r="F1036">
        <v>0.41</v>
      </c>
      <c r="G1036">
        <v>4.0999999999999996</v>
      </c>
      <c r="H1036">
        <v>14947</v>
      </c>
    </row>
    <row r="1037" spans="1:8" x14ac:dyDescent="0.25">
      <c r="A1037" s="1" t="s">
        <v>2063</v>
      </c>
      <c r="B1037" s="1" t="s">
        <v>2064</v>
      </c>
      <c r="C1037" s="1" t="s">
        <v>2750</v>
      </c>
      <c r="D1037" s="1" t="s">
        <v>2843</v>
      </c>
      <c r="E1037">
        <v>1000</v>
      </c>
      <c r="F1037">
        <v>0.52</v>
      </c>
      <c r="G1037">
        <v>4.2</v>
      </c>
      <c r="H1037">
        <v>1559</v>
      </c>
    </row>
    <row r="1038" spans="1:8" x14ac:dyDescent="0.25">
      <c r="A1038" s="1" t="s">
        <v>2065</v>
      </c>
      <c r="B1038" s="1" t="s">
        <v>2066</v>
      </c>
      <c r="C1038" s="1" t="s">
        <v>2750</v>
      </c>
      <c r="D1038" s="1" t="s">
        <v>2838</v>
      </c>
      <c r="E1038">
        <v>299</v>
      </c>
      <c r="F1038">
        <v>0.18</v>
      </c>
      <c r="G1038">
        <v>4.0999999999999996</v>
      </c>
      <c r="H1038">
        <v>1660</v>
      </c>
    </row>
    <row r="1039" spans="1:8" x14ac:dyDescent="0.25">
      <c r="A1039" s="1" t="s">
        <v>2067</v>
      </c>
      <c r="B1039" s="1" t="s">
        <v>2068</v>
      </c>
      <c r="C1039" s="1" t="s">
        <v>2750</v>
      </c>
      <c r="D1039" s="1" t="s">
        <v>2838</v>
      </c>
      <c r="E1039">
        <v>799</v>
      </c>
      <c r="F1039">
        <v>0.78</v>
      </c>
      <c r="G1039">
        <v>3.5</v>
      </c>
      <c r="H1039">
        <v>132</v>
      </c>
    </row>
    <row r="1040" spans="1:8" x14ac:dyDescent="0.25">
      <c r="A1040" s="1" t="s">
        <v>2069</v>
      </c>
      <c r="B1040" s="1" t="s">
        <v>2070</v>
      </c>
      <c r="C1040" s="1" t="s">
        <v>2750</v>
      </c>
      <c r="D1040" s="1" t="s">
        <v>2860</v>
      </c>
      <c r="E1040">
        <v>5190</v>
      </c>
      <c r="F1040">
        <v>0.31</v>
      </c>
      <c r="G1040">
        <v>4.3</v>
      </c>
      <c r="H1040">
        <v>28629</v>
      </c>
    </row>
    <row r="1041" spans="1:8" x14ac:dyDescent="0.25">
      <c r="A1041" s="1" t="s">
        <v>2071</v>
      </c>
      <c r="B1041" s="1" t="s">
        <v>2072</v>
      </c>
      <c r="C1041" s="1" t="s">
        <v>2750</v>
      </c>
      <c r="D1041" s="1" t="s">
        <v>2835</v>
      </c>
      <c r="E1041">
        <v>1345</v>
      </c>
      <c r="F1041">
        <v>0.48</v>
      </c>
      <c r="G1041">
        <v>3.9</v>
      </c>
      <c r="H1041">
        <v>8446</v>
      </c>
    </row>
    <row r="1042" spans="1:8" x14ac:dyDescent="0.25">
      <c r="A1042" s="1" t="s">
        <v>2073</v>
      </c>
      <c r="B1042" s="1" t="s">
        <v>2074</v>
      </c>
      <c r="C1042" s="1" t="s">
        <v>2750</v>
      </c>
      <c r="D1042" s="1" t="s">
        <v>2841</v>
      </c>
      <c r="E1042">
        <v>4000</v>
      </c>
      <c r="F1042">
        <v>0.48</v>
      </c>
      <c r="G1042">
        <v>4.2</v>
      </c>
      <c r="H1042">
        <v>11199</v>
      </c>
    </row>
    <row r="1043" spans="1:8" x14ac:dyDescent="0.25">
      <c r="A1043" s="1" t="s">
        <v>2075</v>
      </c>
      <c r="B1043" s="1" t="s">
        <v>2076</v>
      </c>
      <c r="C1043" s="1" t="s">
        <v>2872</v>
      </c>
      <c r="D1043" s="1" t="s">
        <v>2873</v>
      </c>
      <c r="E1043">
        <v>4000</v>
      </c>
      <c r="F1043">
        <v>0.42</v>
      </c>
      <c r="G1043">
        <v>3.8</v>
      </c>
      <c r="H1043">
        <v>1118</v>
      </c>
    </row>
    <row r="1044" spans="1:8" x14ac:dyDescent="0.25">
      <c r="A1044" s="1" t="s">
        <v>2077</v>
      </c>
      <c r="B1044" s="1" t="s">
        <v>2078</v>
      </c>
      <c r="C1044" s="1" t="s">
        <v>2750</v>
      </c>
      <c r="D1044" s="1" t="s">
        <v>2837</v>
      </c>
      <c r="E1044">
        <v>1599</v>
      </c>
      <c r="F1044">
        <v>0.51</v>
      </c>
      <c r="G1044">
        <v>4.5</v>
      </c>
      <c r="H1044">
        <v>11</v>
      </c>
    </row>
    <row r="1045" spans="1:8" x14ac:dyDescent="0.25">
      <c r="A1045" s="1" t="s">
        <v>2079</v>
      </c>
      <c r="B1045" s="1" t="s">
        <v>2080</v>
      </c>
      <c r="C1045" s="1" t="s">
        <v>2750</v>
      </c>
      <c r="D1045" s="1" t="s">
        <v>2874</v>
      </c>
      <c r="E1045">
        <v>9999</v>
      </c>
      <c r="F1045">
        <v>0.45</v>
      </c>
      <c r="G1045">
        <v>3.8</v>
      </c>
      <c r="H1045">
        <v>4353</v>
      </c>
    </row>
    <row r="1046" spans="1:8" x14ac:dyDescent="0.25">
      <c r="A1046" s="1" t="s">
        <v>2081</v>
      </c>
      <c r="B1046" s="1" t="s">
        <v>2082</v>
      </c>
      <c r="C1046" s="1" t="s">
        <v>2750</v>
      </c>
      <c r="D1046" s="1" t="s">
        <v>2837</v>
      </c>
      <c r="E1046">
        <v>1990</v>
      </c>
      <c r="F1046">
        <v>0.55000000000000004</v>
      </c>
      <c r="G1046">
        <v>4.0999999999999996</v>
      </c>
      <c r="H1046">
        <v>185</v>
      </c>
    </row>
    <row r="1047" spans="1:8" x14ac:dyDescent="0.25">
      <c r="A1047" s="1" t="s">
        <v>2083</v>
      </c>
      <c r="B1047" s="1" t="s">
        <v>2084</v>
      </c>
      <c r="C1047" s="1" t="s">
        <v>2750</v>
      </c>
      <c r="D1047" s="1" t="s">
        <v>2842</v>
      </c>
      <c r="E1047">
        <v>1695</v>
      </c>
      <c r="F1047">
        <v>0</v>
      </c>
      <c r="G1047">
        <v>4.2</v>
      </c>
      <c r="H1047">
        <v>14290</v>
      </c>
    </row>
    <row r="1048" spans="1:8" x14ac:dyDescent="0.25">
      <c r="A1048" s="1" t="s">
        <v>2085</v>
      </c>
      <c r="B1048" s="1" t="s">
        <v>2086</v>
      </c>
      <c r="C1048" s="1" t="s">
        <v>2750</v>
      </c>
      <c r="D1048" s="1" t="s">
        <v>2843</v>
      </c>
      <c r="E1048">
        <v>940</v>
      </c>
      <c r="F1048">
        <v>0.47</v>
      </c>
      <c r="G1048">
        <v>4.0999999999999996</v>
      </c>
      <c r="H1048">
        <v>3036</v>
      </c>
    </row>
    <row r="1049" spans="1:8" x14ac:dyDescent="0.25">
      <c r="A1049" s="1" t="s">
        <v>2087</v>
      </c>
      <c r="B1049" s="1" t="s">
        <v>2088</v>
      </c>
      <c r="C1049" s="1" t="s">
        <v>2750</v>
      </c>
      <c r="D1049" s="1" t="s">
        <v>2845</v>
      </c>
      <c r="E1049">
        <v>4700</v>
      </c>
      <c r="F1049">
        <v>0.43</v>
      </c>
      <c r="G1049">
        <v>4.2</v>
      </c>
      <c r="H1049">
        <v>1296</v>
      </c>
    </row>
    <row r="1050" spans="1:8" x14ac:dyDescent="0.25">
      <c r="A1050" s="1" t="s">
        <v>2089</v>
      </c>
      <c r="B1050" s="1" t="s">
        <v>2090</v>
      </c>
      <c r="C1050" s="1" t="s">
        <v>2750</v>
      </c>
      <c r="D1050" s="1" t="s">
        <v>2845</v>
      </c>
      <c r="E1050">
        <v>2999</v>
      </c>
      <c r="F1050">
        <v>0.52</v>
      </c>
      <c r="G1050">
        <v>4.5</v>
      </c>
      <c r="H1050">
        <v>19</v>
      </c>
    </row>
    <row r="1051" spans="1:8" x14ac:dyDescent="0.25">
      <c r="A1051" s="1" t="s">
        <v>2091</v>
      </c>
      <c r="B1051" s="1" t="s">
        <v>2092</v>
      </c>
      <c r="C1051" s="1" t="s">
        <v>2750</v>
      </c>
      <c r="D1051" s="1" t="s">
        <v>2859</v>
      </c>
      <c r="E1051">
        <v>79</v>
      </c>
      <c r="F1051">
        <v>0</v>
      </c>
      <c r="G1051">
        <v>4</v>
      </c>
      <c r="H1051">
        <v>97</v>
      </c>
    </row>
    <row r="1052" spans="1:8" x14ac:dyDescent="0.25">
      <c r="A1052" s="1" t="s">
        <v>2093</v>
      </c>
      <c r="B1052" s="1" t="s">
        <v>2094</v>
      </c>
      <c r="C1052" s="1" t="s">
        <v>2750</v>
      </c>
      <c r="D1052" s="1" t="s">
        <v>2848</v>
      </c>
      <c r="E1052">
        <v>14290</v>
      </c>
      <c r="F1052">
        <v>0.51</v>
      </c>
      <c r="G1052">
        <v>4.4000000000000004</v>
      </c>
      <c r="H1052">
        <v>1771</v>
      </c>
    </row>
    <row r="1053" spans="1:8" x14ac:dyDescent="0.25">
      <c r="A1053" s="1" t="s">
        <v>2095</v>
      </c>
      <c r="B1053" s="1" t="s">
        <v>2096</v>
      </c>
      <c r="C1053" s="1" t="s">
        <v>2750</v>
      </c>
      <c r="D1053" s="1" t="s">
        <v>2841</v>
      </c>
      <c r="E1053">
        <v>3945</v>
      </c>
      <c r="F1053">
        <v>0.32</v>
      </c>
      <c r="G1053">
        <v>4</v>
      </c>
      <c r="H1053">
        <v>15034</v>
      </c>
    </row>
    <row r="1054" spans="1:8" x14ac:dyDescent="0.25">
      <c r="A1054" s="1" t="s">
        <v>2097</v>
      </c>
      <c r="B1054" s="1" t="s">
        <v>2098</v>
      </c>
      <c r="C1054" s="1" t="s">
        <v>2750</v>
      </c>
      <c r="D1054" s="1" t="s">
        <v>2874</v>
      </c>
      <c r="E1054">
        <v>5999</v>
      </c>
      <c r="F1054">
        <v>0.47</v>
      </c>
      <c r="G1054">
        <v>4</v>
      </c>
      <c r="H1054">
        <v>3242</v>
      </c>
    </row>
    <row r="1055" spans="1:8" x14ac:dyDescent="0.25">
      <c r="A1055" s="1" t="s">
        <v>2099</v>
      </c>
      <c r="B1055" s="1" t="s">
        <v>2100</v>
      </c>
      <c r="C1055" s="1" t="s">
        <v>2750</v>
      </c>
      <c r="D1055" s="1" t="s">
        <v>2847</v>
      </c>
      <c r="E1055">
        <v>1950</v>
      </c>
      <c r="F1055">
        <v>0.39</v>
      </c>
      <c r="G1055">
        <v>3.9</v>
      </c>
      <c r="H1055">
        <v>2832</v>
      </c>
    </row>
    <row r="1056" spans="1:8" x14ac:dyDescent="0.25">
      <c r="A1056" s="1" t="s">
        <v>2101</v>
      </c>
      <c r="B1056" s="1" t="s">
        <v>2102</v>
      </c>
      <c r="C1056" s="1" t="s">
        <v>2750</v>
      </c>
      <c r="D1056" s="1" t="s">
        <v>2857</v>
      </c>
      <c r="E1056">
        <v>2799</v>
      </c>
      <c r="F1056">
        <v>0.49</v>
      </c>
      <c r="G1056">
        <v>4</v>
      </c>
      <c r="H1056">
        <v>1498</v>
      </c>
    </row>
    <row r="1057" spans="1:8" x14ac:dyDescent="0.25">
      <c r="A1057" s="1" t="s">
        <v>2103</v>
      </c>
      <c r="B1057" s="1" t="s">
        <v>2104</v>
      </c>
      <c r="C1057" s="1" t="s">
        <v>2750</v>
      </c>
      <c r="D1057" s="1" t="s">
        <v>2835</v>
      </c>
      <c r="E1057">
        <v>1950</v>
      </c>
      <c r="F1057">
        <v>0.49</v>
      </c>
      <c r="G1057">
        <v>3.8</v>
      </c>
      <c r="H1057">
        <v>305</v>
      </c>
    </row>
    <row r="1058" spans="1:8" x14ac:dyDescent="0.25">
      <c r="A1058" s="1" t="s">
        <v>2105</v>
      </c>
      <c r="B1058" s="1" t="s">
        <v>2106</v>
      </c>
      <c r="C1058" s="1" t="s">
        <v>2750</v>
      </c>
      <c r="D1058" s="1" t="s">
        <v>2861</v>
      </c>
      <c r="E1058">
        <v>9999</v>
      </c>
      <c r="F1058">
        <v>0.4</v>
      </c>
      <c r="G1058">
        <v>4.2</v>
      </c>
      <c r="H1058">
        <v>1191</v>
      </c>
    </row>
    <row r="1059" spans="1:8" x14ac:dyDescent="0.25">
      <c r="A1059" s="1" t="s">
        <v>2107</v>
      </c>
      <c r="B1059" s="1" t="s">
        <v>2108</v>
      </c>
      <c r="C1059" s="1" t="s">
        <v>2750</v>
      </c>
      <c r="D1059" s="1" t="s">
        <v>2875</v>
      </c>
      <c r="E1059">
        <v>12999</v>
      </c>
      <c r="F1059">
        <v>0.23</v>
      </c>
      <c r="G1059">
        <v>4.3</v>
      </c>
      <c r="H1059">
        <v>4049</v>
      </c>
    </row>
    <row r="1060" spans="1:8" x14ac:dyDescent="0.25">
      <c r="A1060" s="1" t="s">
        <v>2109</v>
      </c>
      <c r="B1060" s="1" t="s">
        <v>2110</v>
      </c>
      <c r="C1060" s="1" t="s">
        <v>2750</v>
      </c>
      <c r="D1060" s="1" t="s">
        <v>2876</v>
      </c>
      <c r="E1060">
        <v>699</v>
      </c>
      <c r="F1060">
        <v>0</v>
      </c>
      <c r="G1060">
        <v>4.2</v>
      </c>
      <c r="H1060">
        <v>3160</v>
      </c>
    </row>
    <row r="1061" spans="1:8" x14ac:dyDescent="0.25">
      <c r="A1061" s="1" t="s">
        <v>2111</v>
      </c>
      <c r="B1061" s="1" t="s">
        <v>2112</v>
      </c>
      <c r="C1061" s="1" t="s">
        <v>2750</v>
      </c>
      <c r="D1061" s="1" t="s">
        <v>2860</v>
      </c>
      <c r="E1061">
        <v>3190</v>
      </c>
      <c r="F1061">
        <v>0.31</v>
      </c>
      <c r="G1061">
        <v>4.3</v>
      </c>
      <c r="H1061">
        <v>9650</v>
      </c>
    </row>
    <row r="1062" spans="1:8" x14ac:dyDescent="0.25">
      <c r="A1062" s="1" t="s">
        <v>2113</v>
      </c>
      <c r="B1062" s="1" t="s">
        <v>2114</v>
      </c>
      <c r="C1062" s="1" t="s">
        <v>2750</v>
      </c>
      <c r="D1062" s="1" t="s">
        <v>2877</v>
      </c>
      <c r="E1062">
        <v>799</v>
      </c>
      <c r="F1062">
        <v>0.6</v>
      </c>
      <c r="G1062">
        <v>4.2</v>
      </c>
      <c r="H1062">
        <v>3846</v>
      </c>
    </row>
    <row r="1063" spans="1:8" x14ac:dyDescent="0.25">
      <c r="A1063" s="1" t="s">
        <v>2115</v>
      </c>
      <c r="B1063" s="1" t="s">
        <v>2116</v>
      </c>
      <c r="C1063" s="1" t="s">
        <v>2750</v>
      </c>
      <c r="D1063" s="1" t="s">
        <v>2838</v>
      </c>
      <c r="E1063">
        <v>499</v>
      </c>
      <c r="F1063">
        <v>0.4</v>
      </c>
      <c r="G1063">
        <v>4.4000000000000004</v>
      </c>
      <c r="H1063">
        <v>290</v>
      </c>
    </row>
    <row r="1064" spans="1:8" x14ac:dyDescent="0.25">
      <c r="A1064" s="1" t="s">
        <v>2117</v>
      </c>
      <c r="B1064" s="1" t="s">
        <v>2118</v>
      </c>
      <c r="C1064" s="1" t="s">
        <v>2750</v>
      </c>
      <c r="D1064" s="1" t="s">
        <v>2853</v>
      </c>
      <c r="E1064">
        <v>1499</v>
      </c>
      <c r="F1064">
        <v>0.2</v>
      </c>
      <c r="G1064">
        <v>3.8</v>
      </c>
      <c r="H1064">
        <v>2206</v>
      </c>
    </row>
    <row r="1065" spans="1:8" x14ac:dyDescent="0.25">
      <c r="A1065" s="1" t="s">
        <v>2119</v>
      </c>
      <c r="B1065" s="1" t="s">
        <v>2120</v>
      </c>
      <c r="C1065" s="1" t="s">
        <v>2750</v>
      </c>
      <c r="D1065" s="1" t="s">
        <v>2860</v>
      </c>
      <c r="E1065">
        <v>2660</v>
      </c>
      <c r="F1065">
        <v>0.47</v>
      </c>
      <c r="G1065">
        <v>4.0999999999999996</v>
      </c>
      <c r="H1065">
        <v>9349</v>
      </c>
    </row>
    <row r="1066" spans="1:8" x14ac:dyDescent="0.25">
      <c r="A1066" s="1" t="s">
        <v>2121</v>
      </c>
      <c r="B1066" s="1" t="s">
        <v>2122</v>
      </c>
      <c r="C1066" s="1" t="s">
        <v>2750</v>
      </c>
      <c r="D1066" s="1" t="s">
        <v>2839</v>
      </c>
      <c r="E1066">
        <v>2799</v>
      </c>
      <c r="F1066">
        <v>0.79</v>
      </c>
      <c r="G1066">
        <v>3.9</v>
      </c>
      <c r="H1066">
        <v>578</v>
      </c>
    </row>
    <row r="1067" spans="1:8" x14ac:dyDescent="0.25">
      <c r="A1067" s="1" t="s">
        <v>2123</v>
      </c>
      <c r="B1067" s="1" t="s">
        <v>2124</v>
      </c>
      <c r="C1067" s="1" t="s">
        <v>2750</v>
      </c>
      <c r="D1067" s="1" t="s">
        <v>2864</v>
      </c>
      <c r="E1067">
        <v>1499</v>
      </c>
      <c r="F1067">
        <v>0</v>
      </c>
      <c r="G1067">
        <v>4.3</v>
      </c>
      <c r="H1067">
        <v>9331</v>
      </c>
    </row>
    <row r="1068" spans="1:8" x14ac:dyDescent="0.25">
      <c r="A1068" s="1" t="s">
        <v>2125</v>
      </c>
      <c r="B1068" s="1" t="s">
        <v>2126</v>
      </c>
      <c r="C1068" s="1" t="s">
        <v>2750</v>
      </c>
      <c r="D1068" s="1" t="s">
        <v>2875</v>
      </c>
      <c r="E1068">
        <v>59900</v>
      </c>
      <c r="F1068">
        <v>0.76</v>
      </c>
      <c r="G1068">
        <v>4.4000000000000004</v>
      </c>
      <c r="H1068">
        <v>3837</v>
      </c>
    </row>
    <row r="1069" spans="1:8" x14ac:dyDescent="0.25">
      <c r="A1069" s="1" t="s">
        <v>2127</v>
      </c>
      <c r="B1069" s="1" t="s">
        <v>2128</v>
      </c>
      <c r="C1069" s="1" t="s">
        <v>2750</v>
      </c>
      <c r="D1069" s="1" t="s">
        <v>2876</v>
      </c>
      <c r="E1069">
        <v>1900</v>
      </c>
      <c r="F1069">
        <v>0.11</v>
      </c>
      <c r="G1069">
        <v>3.6</v>
      </c>
      <c r="H1069">
        <v>11456</v>
      </c>
    </row>
    <row r="1070" spans="1:8" x14ac:dyDescent="0.25">
      <c r="A1070" s="1" t="s">
        <v>2129</v>
      </c>
      <c r="B1070" s="1" t="s">
        <v>2130</v>
      </c>
      <c r="C1070" s="1" t="s">
        <v>2750</v>
      </c>
      <c r="D1070" s="1" t="s">
        <v>2836</v>
      </c>
      <c r="E1070">
        <v>999</v>
      </c>
      <c r="F1070">
        <v>0.35</v>
      </c>
      <c r="G1070">
        <v>3.8</v>
      </c>
      <c r="H1070">
        <v>49</v>
      </c>
    </row>
    <row r="1071" spans="1:8" x14ac:dyDescent="0.25">
      <c r="A1071" s="1" t="s">
        <v>2131</v>
      </c>
      <c r="B1071" s="1" t="s">
        <v>2132</v>
      </c>
      <c r="C1071" s="1" t="s">
        <v>2750</v>
      </c>
      <c r="D1071" s="1" t="s">
        <v>2844</v>
      </c>
      <c r="E1071">
        <v>6375</v>
      </c>
      <c r="F1071">
        <v>0.49</v>
      </c>
      <c r="G1071">
        <v>4</v>
      </c>
      <c r="H1071">
        <v>4978</v>
      </c>
    </row>
    <row r="1072" spans="1:8" x14ac:dyDescent="0.25">
      <c r="A1072" s="1" t="s">
        <v>2133</v>
      </c>
      <c r="B1072" s="1" t="s">
        <v>2134</v>
      </c>
      <c r="C1072" s="1" t="s">
        <v>2750</v>
      </c>
      <c r="D1072" s="1" t="s">
        <v>2851</v>
      </c>
      <c r="E1072">
        <v>499</v>
      </c>
      <c r="F1072">
        <v>0.6</v>
      </c>
      <c r="G1072">
        <v>4.0999999999999996</v>
      </c>
      <c r="H1072">
        <v>1996</v>
      </c>
    </row>
    <row r="1073" spans="1:8" x14ac:dyDescent="0.25">
      <c r="A1073" s="1" t="s">
        <v>2135</v>
      </c>
      <c r="B1073" s="1" t="s">
        <v>2136</v>
      </c>
      <c r="C1073" s="1" t="s">
        <v>2750</v>
      </c>
      <c r="D1073" s="1" t="s">
        <v>2855</v>
      </c>
      <c r="E1073">
        <v>1899</v>
      </c>
      <c r="F1073">
        <v>0.42</v>
      </c>
      <c r="G1073">
        <v>4.3</v>
      </c>
      <c r="H1073">
        <v>1811</v>
      </c>
    </row>
    <row r="1074" spans="1:8" x14ac:dyDescent="0.25">
      <c r="A1074" s="1" t="s">
        <v>2137</v>
      </c>
      <c r="B1074" s="1" t="s">
        <v>2138</v>
      </c>
      <c r="C1074" s="1" t="s">
        <v>2750</v>
      </c>
      <c r="D1074" s="1" t="s">
        <v>2835</v>
      </c>
      <c r="E1074">
        <v>1490</v>
      </c>
      <c r="F1074">
        <v>0.55000000000000004</v>
      </c>
      <c r="G1074">
        <v>4</v>
      </c>
      <c r="H1074">
        <v>2198</v>
      </c>
    </row>
    <row r="1075" spans="1:8" x14ac:dyDescent="0.25">
      <c r="A1075" s="1" t="s">
        <v>2139</v>
      </c>
      <c r="B1075" s="1" t="s">
        <v>2140</v>
      </c>
      <c r="C1075" s="1" t="s">
        <v>2750</v>
      </c>
      <c r="D1075" s="1" t="s">
        <v>2856</v>
      </c>
      <c r="E1075">
        <v>350</v>
      </c>
      <c r="F1075">
        <v>0.26</v>
      </c>
      <c r="G1075">
        <v>3.9</v>
      </c>
      <c r="H1075">
        <v>13127</v>
      </c>
    </row>
    <row r="1076" spans="1:8" x14ac:dyDescent="0.25">
      <c r="A1076" s="1" t="s">
        <v>2141</v>
      </c>
      <c r="B1076" s="1" t="s">
        <v>2142</v>
      </c>
      <c r="C1076" s="1" t="s">
        <v>2750</v>
      </c>
      <c r="D1076" s="1" t="s">
        <v>2848</v>
      </c>
      <c r="E1076">
        <v>8500</v>
      </c>
      <c r="F1076">
        <v>0.24</v>
      </c>
      <c r="G1076">
        <v>4.4000000000000004</v>
      </c>
      <c r="H1076">
        <v>5865</v>
      </c>
    </row>
    <row r="1077" spans="1:8" x14ac:dyDescent="0.25">
      <c r="A1077" s="1" t="s">
        <v>2143</v>
      </c>
      <c r="B1077" s="1" t="s">
        <v>2144</v>
      </c>
      <c r="C1077" s="1" t="s">
        <v>2750</v>
      </c>
      <c r="D1077" s="1" t="s">
        <v>2878</v>
      </c>
      <c r="E1077">
        <v>2499</v>
      </c>
      <c r="F1077">
        <v>0.41</v>
      </c>
      <c r="G1077">
        <v>3.7</v>
      </c>
      <c r="H1077">
        <v>1067</v>
      </c>
    </row>
    <row r="1078" spans="1:8" x14ac:dyDescent="0.25">
      <c r="A1078" s="1" t="s">
        <v>2145</v>
      </c>
      <c r="B1078" s="1" t="s">
        <v>2146</v>
      </c>
      <c r="C1078" s="1" t="s">
        <v>2750</v>
      </c>
      <c r="D1078" s="1" t="s">
        <v>2852</v>
      </c>
      <c r="E1078">
        <v>1560</v>
      </c>
      <c r="F1078">
        <v>0.36</v>
      </c>
      <c r="G1078">
        <v>3.6</v>
      </c>
      <c r="H1078">
        <v>4881</v>
      </c>
    </row>
    <row r="1079" spans="1:8" x14ac:dyDescent="0.25">
      <c r="A1079" s="1" t="s">
        <v>2147</v>
      </c>
      <c r="B1079" s="1" t="s">
        <v>2148</v>
      </c>
      <c r="C1079" s="1" t="s">
        <v>2750</v>
      </c>
      <c r="D1079" s="1" t="s">
        <v>2853</v>
      </c>
      <c r="E1079">
        <v>6500</v>
      </c>
      <c r="F1079">
        <v>0.49</v>
      </c>
      <c r="G1079">
        <v>3.7</v>
      </c>
      <c r="H1079">
        <v>11217</v>
      </c>
    </row>
    <row r="1080" spans="1:8" x14ac:dyDescent="0.25">
      <c r="A1080" s="1" t="s">
        <v>2149</v>
      </c>
      <c r="B1080" s="1" t="s">
        <v>2150</v>
      </c>
      <c r="C1080" s="1" t="s">
        <v>2750</v>
      </c>
      <c r="D1080" s="1" t="s">
        <v>2842</v>
      </c>
      <c r="E1080">
        <v>999</v>
      </c>
      <c r="F1080">
        <v>0.74</v>
      </c>
      <c r="G1080">
        <v>4</v>
      </c>
      <c r="H1080">
        <v>43</v>
      </c>
    </row>
    <row r="1081" spans="1:8" x14ac:dyDescent="0.25">
      <c r="A1081" s="1" t="s">
        <v>2151</v>
      </c>
      <c r="B1081" s="1" t="s">
        <v>2152</v>
      </c>
      <c r="C1081" s="1" t="s">
        <v>2750</v>
      </c>
      <c r="D1081" s="1" t="s">
        <v>2844</v>
      </c>
      <c r="E1081">
        <v>7795</v>
      </c>
      <c r="F1081">
        <v>0.57999999999999996</v>
      </c>
      <c r="G1081">
        <v>4.2</v>
      </c>
      <c r="H1081">
        <v>4664</v>
      </c>
    </row>
    <row r="1082" spans="1:8" x14ac:dyDescent="0.25">
      <c r="A1082" s="1" t="s">
        <v>2153</v>
      </c>
      <c r="B1082" s="1" t="s">
        <v>2154</v>
      </c>
      <c r="C1082" s="1" t="s">
        <v>2750</v>
      </c>
      <c r="D1082" s="1" t="s">
        <v>2852</v>
      </c>
      <c r="E1082">
        <v>5995</v>
      </c>
      <c r="F1082">
        <v>0.28999999999999998</v>
      </c>
      <c r="G1082">
        <v>3.8</v>
      </c>
      <c r="H1082">
        <v>2112</v>
      </c>
    </row>
    <row r="1083" spans="1:8" x14ac:dyDescent="0.25">
      <c r="A1083" s="1" t="s">
        <v>2155</v>
      </c>
      <c r="B1083" s="1" t="s">
        <v>2156</v>
      </c>
      <c r="C1083" s="1" t="s">
        <v>2750</v>
      </c>
      <c r="D1083" s="1" t="s">
        <v>2879</v>
      </c>
      <c r="E1083">
        <v>299</v>
      </c>
      <c r="F1083">
        <v>0.37</v>
      </c>
      <c r="G1083">
        <v>4.2</v>
      </c>
      <c r="H1083">
        <v>2737</v>
      </c>
    </row>
    <row r="1084" spans="1:8" x14ac:dyDescent="0.25">
      <c r="A1084" s="1" t="s">
        <v>2157</v>
      </c>
      <c r="B1084" s="1" t="s">
        <v>2158</v>
      </c>
      <c r="C1084" s="1" t="s">
        <v>2750</v>
      </c>
      <c r="D1084" s="1" t="s">
        <v>2860</v>
      </c>
      <c r="E1084">
        <v>2349</v>
      </c>
      <c r="F1084">
        <v>0.38</v>
      </c>
      <c r="G1084">
        <v>3.9</v>
      </c>
      <c r="H1084">
        <v>9019</v>
      </c>
    </row>
    <row r="1085" spans="1:8" x14ac:dyDescent="0.25">
      <c r="A1085" s="1" t="s">
        <v>2159</v>
      </c>
      <c r="B1085" s="1" t="s">
        <v>2160</v>
      </c>
      <c r="C1085" s="1" t="s">
        <v>2750</v>
      </c>
      <c r="D1085" s="1" t="s">
        <v>2851</v>
      </c>
      <c r="E1085">
        <v>499</v>
      </c>
      <c r="F1085">
        <v>0.6</v>
      </c>
      <c r="G1085">
        <v>4</v>
      </c>
      <c r="H1085">
        <v>10234</v>
      </c>
    </row>
    <row r="1086" spans="1:8" x14ac:dyDescent="0.25">
      <c r="A1086" s="1" t="s">
        <v>2161</v>
      </c>
      <c r="B1086" s="1" t="s">
        <v>2162</v>
      </c>
      <c r="C1086" s="1" t="s">
        <v>2750</v>
      </c>
      <c r="D1086" s="1" t="s">
        <v>2880</v>
      </c>
      <c r="E1086">
        <v>1299</v>
      </c>
      <c r="F1086">
        <v>0.64</v>
      </c>
      <c r="G1086">
        <v>4.0999999999999996</v>
      </c>
      <c r="H1086">
        <v>550</v>
      </c>
    </row>
    <row r="1087" spans="1:8" x14ac:dyDescent="0.25">
      <c r="A1087" s="1" t="s">
        <v>2163</v>
      </c>
      <c r="B1087" s="1" t="s">
        <v>2164</v>
      </c>
      <c r="C1087" s="1" t="s">
        <v>2750</v>
      </c>
      <c r="D1087" s="1" t="s">
        <v>2842</v>
      </c>
      <c r="E1087">
        <v>499</v>
      </c>
      <c r="F1087">
        <v>0.44</v>
      </c>
      <c r="G1087">
        <v>4.8</v>
      </c>
      <c r="H1087">
        <v>28</v>
      </c>
    </row>
    <row r="1088" spans="1:8" x14ac:dyDescent="0.25">
      <c r="A1088" s="1" t="s">
        <v>2165</v>
      </c>
      <c r="B1088" s="1" t="s">
        <v>2166</v>
      </c>
      <c r="C1088" s="1" t="s">
        <v>2750</v>
      </c>
      <c r="D1088" s="1" t="s">
        <v>2860</v>
      </c>
      <c r="E1088">
        <v>4775</v>
      </c>
      <c r="F1088">
        <v>0.57999999999999996</v>
      </c>
      <c r="G1088">
        <v>4.2</v>
      </c>
      <c r="H1088">
        <v>1353</v>
      </c>
    </row>
    <row r="1089" spans="1:8" x14ac:dyDescent="0.25">
      <c r="A1089" s="1" t="s">
        <v>2167</v>
      </c>
      <c r="B1089" s="1" t="s">
        <v>2168</v>
      </c>
      <c r="C1089" s="1" t="s">
        <v>2750</v>
      </c>
      <c r="D1089" s="1" t="s">
        <v>2838</v>
      </c>
      <c r="E1089">
        <v>1230</v>
      </c>
      <c r="F1089">
        <v>0.35</v>
      </c>
      <c r="G1089">
        <v>4.0999999999999996</v>
      </c>
      <c r="H1089">
        <v>2138</v>
      </c>
    </row>
    <row r="1090" spans="1:8" x14ac:dyDescent="0.25">
      <c r="A1090" s="1" t="s">
        <v>2169</v>
      </c>
      <c r="B1090" s="1" t="s">
        <v>2170</v>
      </c>
      <c r="C1090" s="1" t="s">
        <v>2750</v>
      </c>
      <c r="D1090" s="1" t="s">
        <v>2857</v>
      </c>
      <c r="E1090">
        <v>1999</v>
      </c>
      <c r="F1090">
        <v>0.53</v>
      </c>
      <c r="G1090">
        <v>4</v>
      </c>
      <c r="H1090">
        <v>1679</v>
      </c>
    </row>
    <row r="1091" spans="1:8" x14ac:dyDescent="0.25">
      <c r="A1091" s="1" t="s">
        <v>2171</v>
      </c>
      <c r="B1091" s="1" t="s">
        <v>2172</v>
      </c>
      <c r="C1091" s="1" t="s">
        <v>2750</v>
      </c>
      <c r="D1091" s="1" t="s">
        <v>2881</v>
      </c>
      <c r="E1091">
        <v>5156</v>
      </c>
      <c r="F1091">
        <v>0.28999999999999998</v>
      </c>
      <c r="G1091">
        <v>3.9</v>
      </c>
      <c r="H1091">
        <v>12837</v>
      </c>
    </row>
    <row r="1092" spans="1:8" x14ac:dyDescent="0.25">
      <c r="A1092" s="1" t="s">
        <v>2173</v>
      </c>
      <c r="B1092" s="1" t="s">
        <v>2174</v>
      </c>
      <c r="C1092" s="1" t="s">
        <v>2750</v>
      </c>
      <c r="D1092" s="1" t="s">
        <v>2882</v>
      </c>
      <c r="E1092">
        <v>1999</v>
      </c>
      <c r="F1092">
        <v>0.15</v>
      </c>
      <c r="G1092">
        <v>4.0999999999999996</v>
      </c>
      <c r="H1092">
        <v>8873</v>
      </c>
    </row>
    <row r="1093" spans="1:8" x14ac:dyDescent="0.25">
      <c r="A1093" s="1" t="s">
        <v>2175</v>
      </c>
      <c r="B1093" s="1" t="s">
        <v>2176</v>
      </c>
      <c r="C1093" s="1" t="s">
        <v>2750</v>
      </c>
      <c r="D1093" s="1" t="s">
        <v>2852</v>
      </c>
      <c r="E1093">
        <v>2095</v>
      </c>
      <c r="F1093">
        <v>0.12</v>
      </c>
      <c r="G1093">
        <v>4.3</v>
      </c>
      <c r="H1093">
        <v>7681</v>
      </c>
    </row>
    <row r="1094" spans="1:8" x14ac:dyDescent="0.25">
      <c r="A1094" s="1" t="s">
        <v>2177</v>
      </c>
      <c r="B1094" s="1" t="s">
        <v>2178</v>
      </c>
      <c r="C1094" s="1" t="s">
        <v>2750</v>
      </c>
      <c r="D1094" s="1" t="s">
        <v>2837</v>
      </c>
      <c r="E1094">
        <v>19825</v>
      </c>
      <c r="F1094">
        <v>0.37</v>
      </c>
      <c r="G1094">
        <v>4.0999999999999996</v>
      </c>
      <c r="H1094">
        <v>322</v>
      </c>
    </row>
    <row r="1095" spans="1:8" x14ac:dyDescent="0.25">
      <c r="A1095" s="1" t="s">
        <v>2179</v>
      </c>
      <c r="B1095" s="1" t="s">
        <v>2180</v>
      </c>
      <c r="C1095" s="1" t="s">
        <v>2750</v>
      </c>
      <c r="D1095" s="1" t="s">
        <v>2843</v>
      </c>
      <c r="E1095">
        <v>1920</v>
      </c>
      <c r="F1095">
        <v>0.43</v>
      </c>
      <c r="G1095">
        <v>4.2</v>
      </c>
      <c r="H1095">
        <v>9772</v>
      </c>
    </row>
    <row r="1096" spans="1:8" x14ac:dyDescent="0.25">
      <c r="A1096" s="1" t="s">
        <v>2181</v>
      </c>
      <c r="B1096" s="1" t="s">
        <v>2182</v>
      </c>
      <c r="C1096" s="1" t="s">
        <v>2750</v>
      </c>
      <c r="D1096" s="1" t="s">
        <v>2876</v>
      </c>
      <c r="E1096">
        <v>16000</v>
      </c>
      <c r="F1096">
        <v>0.49</v>
      </c>
      <c r="G1096">
        <v>3.9</v>
      </c>
      <c r="H1096">
        <v>18497</v>
      </c>
    </row>
    <row r="1097" spans="1:8" x14ac:dyDescent="0.25">
      <c r="A1097" s="1" t="s">
        <v>2183</v>
      </c>
      <c r="B1097" s="1" t="s">
        <v>2184</v>
      </c>
      <c r="C1097" s="1" t="s">
        <v>2750</v>
      </c>
      <c r="D1097" s="1" t="s">
        <v>2853</v>
      </c>
      <c r="E1097">
        <v>2199</v>
      </c>
      <c r="F1097">
        <v>0.77</v>
      </c>
      <c r="G1097">
        <v>3.7</v>
      </c>
      <c r="H1097">
        <v>53</v>
      </c>
    </row>
    <row r="1098" spans="1:8" x14ac:dyDescent="0.25">
      <c r="A1098" s="1" t="s">
        <v>2185</v>
      </c>
      <c r="B1098" s="1" t="s">
        <v>2186</v>
      </c>
      <c r="C1098" s="1" t="s">
        <v>2750</v>
      </c>
      <c r="D1098" s="1" t="s">
        <v>2854</v>
      </c>
      <c r="E1098">
        <v>14999</v>
      </c>
      <c r="F1098">
        <v>0.53</v>
      </c>
      <c r="G1098">
        <v>4.0999999999999996</v>
      </c>
      <c r="H1098">
        <v>1728</v>
      </c>
    </row>
    <row r="1099" spans="1:8" x14ac:dyDescent="0.25">
      <c r="A1099" s="1" t="s">
        <v>2187</v>
      </c>
      <c r="B1099" s="1" t="s">
        <v>2188</v>
      </c>
      <c r="C1099" s="1" t="s">
        <v>2750</v>
      </c>
      <c r="D1099" s="1" t="s">
        <v>2859</v>
      </c>
      <c r="E1099">
        <v>1799</v>
      </c>
      <c r="F1099">
        <v>0.11</v>
      </c>
      <c r="G1099">
        <v>4</v>
      </c>
      <c r="H1099">
        <v>2877</v>
      </c>
    </row>
    <row r="1100" spans="1:8" x14ac:dyDescent="0.25">
      <c r="A1100" s="1" t="s">
        <v>2189</v>
      </c>
      <c r="B1100" s="1" t="s">
        <v>2190</v>
      </c>
      <c r="C1100" s="1" t="s">
        <v>2750</v>
      </c>
      <c r="D1100" s="1" t="s">
        <v>2843</v>
      </c>
      <c r="E1100">
        <v>1950</v>
      </c>
      <c r="F1100">
        <v>0.46</v>
      </c>
      <c r="G1100">
        <v>3.8</v>
      </c>
      <c r="H1100">
        <v>250</v>
      </c>
    </row>
    <row r="1101" spans="1:8" x14ac:dyDescent="0.25">
      <c r="A1101" s="1" t="s">
        <v>2191</v>
      </c>
      <c r="B1101" s="1" t="s">
        <v>2192</v>
      </c>
      <c r="C1101" s="1" t="s">
        <v>2750</v>
      </c>
      <c r="D1101" s="1" t="s">
        <v>2847</v>
      </c>
      <c r="E1101">
        <v>2995</v>
      </c>
      <c r="F1101">
        <v>0.61</v>
      </c>
      <c r="G1101">
        <v>4.2</v>
      </c>
      <c r="H1101">
        <v>5178</v>
      </c>
    </row>
    <row r="1102" spans="1:8" x14ac:dyDescent="0.25">
      <c r="A1102" s="1" t="s">
        <v>2193</v>
      </c>
      <c r="B1102" s="1" t="s">
        <v>2194</v>
      </c>
      <c r="C1102" s="1" t="s">
        <v>2750</v>
      </c>
      <c r="D1102" s="1" t="s">
        <v>2838</v>
      </c>
      <c r="E1102">
        <v>999</v>
      </c>
      <c r="F1102">
        <v>0.5</v>
      </c>
      <c r="G1102">
        <v>4.5999999999999996</v>
      </c>
      <c r="H1102">
        <v>79</v>
      </c>
    </row>
    <row r="1103" spans="1:8" x14ac:dyDescent="0.25">
      <c r="A1103" s="1" t="s">
        <v>2195</v>
      </c>
      <c r="B1103" s="1" t="s">
        <v>2196</v>
      </c>
      <c r="C1103" s="1" t="s">
        <v>2750</v>
      </c>
      <c r="D1103" s="1" t="s">
        <v>2875</v>
      </c>
      <c r="E1103">
        <v>11995</v>
      </c>
      <c r="F1103">
        <v>0.27</v>
      </c>
      <c r="G1103">
        <v>4.0999999999999996</v>
      </c>
      <c r="H1103">
        <v>4157</v>
      </c>
    </row>
    <row r="1104" spans="1:8" x14ac:dyDescent="0.25">
      <c r="A1104" s="1" t="s">
        <v>2197</v>
      </c>
      <c r="B1104" s="1" t="s">
        <v>2198</v>
      </c>
      <c r="C1104" s="1" t="s">
        <v>2750</v>
      </c>
      <c r="D1104" s="1" t="s">
        <v>2836</v>
      </c>
      <c r="E1104">
        <v>2999</v>
      </c>
      <c r="F1104">
        <v>0.49</v>
      </c>
      <c r="G1104">
        <v>3.3</v>
      </c>
      <c r="H1104">
        <v>29</v>
      </c>
    </row>
    <row r="1105" spans="1:8" x14ac:dyDescent="0.25">
      <c r="A1105" s="1" t="s">
        <v>2199</v>
      </c>
      <c r="B1105" s="1" t="s">
        <v>2200</v>
      </c>
      <c r="C1105" s="1" t="s">
        <v>2750</v>
      </c>
      <c r="D1105" s="1" t="s">
        <v>2843</v>
      </c>
      <c r="E1105">
        <v>1690</v>
      </c>
      <c r="F1105">
        <v>0.28999999999999998</v>
      </c>
      <c r="G1105">
        <v>4.2</v>
      </c>
      <c r="H1105">
        <v>4580</v>
      </c>
    </row>
    <row r="1106" spans="1:8" x14ac:dyDescent="0.25">
      <c r="A1106" s="1" t="s">
        <v>2201</v>
      </c>
      <c r="B1106" s="1" t="s">
        <v>2202</v>
      </c>
      <c r="C1106" s="1" t="s">
        <v>2750</v>
      </c>
      <c r="D1106" s="1" t="s">
        <v>2855</v>
      </c>
      <c r="E1106">
        <v>1790</v>
      </c>
      <c r="F1106">
        <v>0.41</v>
      </c>
      <c r="G1106">
        <v>4.3</v>
      </c>
      <c r="H1106">
        <v>1404</v>
      </c>
    </row>
    <row r="1107" spans="1:8" x14ac:dyDescent="0.25">
      <c r="A1107" s="1" t="s">
        <v>2203</v>
      </c>
      <c r="B1107" s="1" t="s">
        <v>2204</v>
      </c>
      <c r="C1107" s="1" t="s">
        <v>2750</v>
      </c>
      <c r="D1107" s="1" t="s">
        <v>2883</v>
      </c>
      <c r="E1107">
        <v>8995</v>
      </c>
      <c r="F1107">
        <v>0.28000000000000003</v>
      </c>
      <c r="G1107">
        <v>4.3</v>
      </c>
      <c r="H1107">
        <v>2810</v>
      </c>
    </row>
    <row r="1108" spans="1:8" x14ac:dyDescent="0.25">
      <c r="A1108" s="1" t="s">
        <v>2205</v>
      </c>
      <c r="B1108" s="1" t="s">
        <v>2206</v>
      </c>
      <c r="C1108" s="1" t="s">
        <v>2750</v>
      </c>
      <c r="D1108" s="1" t="s">
        <v>2858</v>
      </c>
      <c r="E1108">
        <v>239</v>
      </c>
      <c r="F1108">
        <v>0</v>
      </c>
      <c r="G1108">
        <v>4.3</v>
      </c>
      <c r="H1108">
        <v>7</v>
      </c>
    </row>
    <row r="1109" spans="1:8" x14ac:dyDescent="0.25">
      <c r="A1109" s="1" t="s">
        <v>2207</v>
      </c>
      <c r="B1109" s="1" t="s">
        <v>2208</v>
      </c>
      <c r="C1109" s="1" t="s">
        <v>2750</v>
      </c>
      <c r="D1109" s="1" t="s">
        <v>2842</v>
      </c>
      <c r="E1109">
        <v>1599</v>
      </c>
      <c r="F1109">
        <v>0.56000000000000005</v>
      </c>
      <c r="G1109">
        <v>4.7</v>
      </c>
      <c r="H1109">
        <v>1729</v>
      </c>
    </row>
    <row r="1110" spans="1:8" x14ac:dyDescent="0.25">
      <c r="A1110" s="1" t="s">
        <v>2209</v>
      </c>
      <c r="B1110" s="1" t="s">
        <v>2210</v>
      </c>
      <c r="C1110" s="1" t="s">
        <v>2750</v>
      </c>
      <c r="D1110" s="1" t="s">
        <v>2884</v>
      </c>
      <c r="E1110">
        <v>4290</v>
      </c>
      <c r="F1110">
        <v>0.39</v>
      </c>
      <c r="G1110">
        <v>4.4000000000000004</v>
      </c>
      <c r="H1110">
        <v>2116</v>
      </c>
    </row>
    <row r="1111" spans="1:8" x14ac:dyDescent="0.25">
      <c r="A1111" s="1" t="s">
        <v>2211</v>
      </c>
      <c r="B1111" s="1" t="s">
        <v>2212</v>
      </c>
      <c r="C1111" s="1" t="s">
        <v>2750</v>
      </c>
      <c r="D1111" s="1" t="s">
        <v>2854</v>
      </c>
      <c r="E1111">
        <v>2890</v>
      </c>
      <c r="F1111">
        <v>0.46</v>
      </c>
      <c r="G1111">
        <v>3.9</v>
      </c>
      <c r="H1111">
        <v>463</v>
      </c>
    </row>
    <row r="1112" spans="1:8" x14ac:dyDescent="0.25">
      <c r="A1112" s="1" t="s">
        <v>2213</v>
      </c>
      <c r="B1112" s="1" t="s">
        <v>2214</v>
      </c>
      <c r="C1112" s="1" t="s">
        <v>2750</v>
      </c>
      <c r="D1112" s="1" t="s">
        <v>2842</v>
      </c>
      <c r="E1112">
        <v>1299</v>
      </c>
      <c r="F1112">
        <v>0.62</v>
      </c>
      <c r="G1112">
        <v>4.7</v>
      </c>
      <c r="H1112">
        <v>54</v>
      </c>
    </row>
    <row r="1113" spans="1:8" x14ac:dyDescent="0.25">
      <c r="A1113" s="1" t="s">
        <v>2215</v>
      </c>
      <c r="B1113" s="1" t="s">
        <v>2216</v>
      </c>
      <c r="C1113" s="1" t="s">
        <v>2750</v>
      </c>
      <c r="D1113" s="1" t="s">
        <v>2849</v>
      </c>
      <c r="E1113">
        <v>640</v>
      </c>
      <c r="F1113">
        <v>0.2</v>
      </c>
      <c r="G1113">
        <v>4.0999999999999996</v>
      </c>
      <c r="H1113">
        <v>7229</v>
      </c>
    </row>
    <row r="1114" spans="1:8" x14ac:dyDescent="0.25">
      <c r="A1114" s="1" t="s">
        <v>2217</v>
      </c>
      <c r="B1114" s="1" t="s">
        <v>2218</v>
      </c>
      <c r="C1114" s="1" t="s">
        <v>2750</v>
      </c>
      <c r="D1114" s="1" t="s">
        <v>2845</v>
      </c>
      <c r="E1114">
        <v>3790</v>
      </c>
      <c r="F1114">
        <v>0.5</v>
      </c>
      <c r="G1114">
        <v>3.8</v>
      </c>
      <c r="H1114">
        <v>3842</v>
      </c>
    </row>
    <row r="1115" spans="1:8" x14ac:dyDescent="0.25">
      <c r="A1115" s="1" t="s">
        <v>2219</v>
      </c>
      <c r="B1115" s="1" t="s">
        <v>2220</v>
      </c>
      <c r="C1115" s="1" t="s">
        <v>2750</v>
      </c>
      <c r="D1115" s="1" t="s">
        <v>2845</v>
      </c>
      <c r="E1115">
        <v>4560</v>
      </c>
      <c r="F1115">
        <v>0.43</v>
      </c>
      <c r="G1115">
        <v>4.4000000000000004</v>
      </c>
      <c r="H1115">
        <v>646</v>
      </c>
    </row>
    <row r="1116" spans="1:8" x14ac:dyDescent="0.25">
      <c r="A1116" s="1" t="s">
        <v>2221</v>
      </c>
      <c r="B1116" s="1" t="s">
        <v>2222</v>
      </c>
      <c r="C1116" s="1" t="s">
        <v>2750</v>
      </c>
      <c r="D1116" s="1" t="s">
        <v>2855</v>
      </c>
      <c r="E1116">
        <v>3500</v>
      </c>
      <c r="F1116">
        <v>0.66</v>
      </c>
      <c r="G1116">
        <v>4.3</v>
      </c>
      <c r="H1116">
        <v>1802</v>
      </c>
    </row>
    <row r="1117" spans="1:8" x14ac:dyDescent="0.25">
      <c r="A1117" s="1" t="s">
        <v>2223</v>
      </c>
      <c r="B1117" s="1" t="s">
        <v>2224</v>
      </c>
      <c r="C1117" s="1" t="s">
        <v>2750</v>
      </c>
      <c r="D1117" s="1" t="s">
        <v>2845</v>
      </c>
      <c r="E1117">
        <v>2600</v>
      </c>
      <c r="F1117">
        <v>0.62</v>
      </c>
      <c r="G1117">
        <v>3.4</v>
      </c>
      <c r="H1117">
        <v>252</v>
      </c>
    </row>
    <row r="1118" spans="1:8" x14ac:dyDescent="0.25">
      <c r="A1118" s="1" t="s">
        <v>2225</v>
      </c>
      <c r="B1118" s="1" t="s">
        <v>2226</v>
      </c>
      <c r="C1118" s="1" t="s">
        <v>2750</v>
      </c>
      <c r="D1118" s="1" t="s">
        <v>2841</v>
      </c>
      <c r="E1118">
        <v>3300</v>
      </c>
      <c r="F1118">
        <v>0.39</v>
      </c>
      <c r="G1118">
        <v>4.2</v>
      </c>
      <c r="H1118">
        <v>780</v>
      </c>
    </row>
    <row r="1119" spans="1:8" x14ac:dyDescent="0.25">
      <c r="A1119" s="1" t="s">
        <v>2227</v>
      </c>
      <c r="B1119" s="1" t="s">
        <v>2228</v>
      </c>
      <c r="C1119" s="1" t="s">
        <v>2750</v>
      </c>
      <c r="D1119" s="1" t="s">
        <v>2842</v>
      </c>
      <c r="E1119">
        <v>699</v>
      </c>
      <c r="F1119">
        <v>0.7</v>
      </c>
      <c r="G1119">
        <v>3.7</v>
      </c>
      <c r="H1119">
        <v>74</v>
      </c>
    </row>
    <row r="1120" spans="1:8" x14ac:dyDescent="0.25">
      <c r="A1120" s="1" t="s">
        <v>2229</v>
      </c>
      <c r="B1120" s="1" t="s">
        <v>2230</v>
      </c>
      <c r="C1120" s="1" t="s">
        <v>2750</v>
      </c>
      <c r="D1120" s="1" t="s">
        <v>2875</v>
      </c>
      <c r="E1120">
        <v>23559</v>
      </c>
      <c r="F1120">
        <v>0.38</v>
      </c>
      <c r="G1120">
        <v>4.3</v>
      </c>
      <c r="H1120">
        <v>2026</v>
      </c>
    </row>
    <row r="1121" spans="1:8" x14ac:dyDescent="0.25">
      <c r="A1121" s="1" t="s">
        <v>2231</v>
      </c>
      <c r="B1121" s="1" t="s">
        <v>2232</v>
      </c>
      <c r="C1121" s="1" t="s">
        <v>2750</v>
      </c>
      <c r="D1121" s="1" t="s">
        <v>2851</v>
      </c>
      <c r="E1121">
        <v>1599</v>
      </c>
      <c r="F1121">
        <v>0.41</v>
      </c>
      <c r="G1121">
        <v>4.3</v>
      </c>
      <c r="H1121">
        <v>5911</v>
      </c>
    </row>
    <row r="1122" spans="1:8" x14ac:dyDescent="0.25">
      <c r="A1122" s="1" t="s">
        <v>2233</v>
      </c>
      <c r="B1122" s="1" t="s">
        <v>2234</v>
      </c>
      <c r="C1122" s="1" t="s">
        <v>2750</v>
      </c>
      <c r="D1122" s="1" t="s">
        <v>2850</v>
      </c>
      <c r="E1122">
        <v>9995</v>
      </c>
      <c r="F1122">
        <v>0.28000000000000003</v>
      </c>
      <c r="G1122">
        <v>4.4000000000000004</v>
      </c>
      <c r="H1122">
        <v>1964</v>
      </c>
    </row>
    <row r="1123" spans="1:8" x14ac:dyDescent="0.25">
      <c r="A1123" s="1" t="s">
        <v>2235</v>
      </c>
      <c r="B1123" s="1" t="s">
        <v>2236</v>
      </c>
      <c r="C1123" s="1" t="s">
        <v>2750</v>
      </c>
      <c r="D1123" s="1" t="s">
        <v>2836</v>
      </c>
      <c r="E1123">
        <v>2545</v>
      </c>
      <c r="F1123">
        <v>0.04</v>
      </c>
      <c r="G1123">
        <v>4.0999999999999996</v>
      </c>
      <c r="H1123">
        <v>25</v>
      </c>
    </row>
    <row r="1124" spans="1:8" x14ac:dyDescent="0.25">
      <c r="A1124" s="1" t="s">
        <v>2237</v>
      </c>
      <c r="B1124" s="1" t="s">
        <v>2238</v>
      </c>
      <c r="C1124" s="1" t="s">
        <v>2750</v>
      </c>
      <c r="D1124" s="1" t="s">
        <v>2852</v>
      </c>
      <c r="E1124">
        <v>8995</v>
      </c>
      <c r="F1124">
        <v>0.13</v>
      </c>
      <c r="G1124">
        <v>4</v>
      </c>
      <c r="H1124">
        <v>3160</v>
      </c>
    </row>
    <row r="1125" spans="1:8" x14ac:dyDescent="0.25">
      <c r="A1125" s="1" t="s">
        <v>2239</v>
      </c>
      <c r="B1125" s="1" t="s">
        <v>2240</v>
      </c>
      <c r="C1125" s="1" t="s">
        <v>2750</v>
      </c>
      <c r="D1125" s="1" t="s">
        <v>2857</v>
      </c>
      <c r="E1125">
        <v>1999</v>
      </c>
      <c r="F1125">
        <v>0.2</v>
      </c>
      <c r="G1125">
        <v>4.4000000000000004</v>
      </c>
      <c r="H1125">
        <v>1558</v>
      </c>
    </row>
    <row r="1126" spans="1:8" x14ac:dyDescent="0.25">
      <c r="A1126" s="1" t="s">
        <v>2241</v>
      </c>
      <c r="B1126" s="1" t="s">
        <v>2242</v>
      </c>
      <c r="C1126" s="1" t="s">
        <v>2750</v>
      </c>
      <c r="D1126" s="1" t="s">
        <v>2844</v>
      </c>
      <c r="E1126">
        <v>5500</v>
      </c>
      <c r="F1126">
        <v>0.47</v>
      </c>
      <c r="G1126">
        <v>3.8</v>
      </c>
      <c r="H1126">
        <v>8958</v>
      </c>
    </row>
    <row r="1127" spans="1:8" x14ac:dyDescent="0.25">
      <c r="A1127" s="1" t="s">
        <v>2243</v>
      </c>
      <c r="B1127" s="1" t="s">
        <v>2244</v>
      </c>
      <c r="C1127" s="1" t="s">
        <v>2750</v>
      </c>
      <c r="D1127" s="1" t="s">
        <v>2878</v>
      </c>
      <c r="E1127">
        <v>12150</v>
      </c>
      <c r="F1127">
        <v>0.19</v>
      </c>
      <c r="G1127">
        <v>4.3</v>
      </c>
      <c r="H1127">
        <v>13251</v>
      </c>
    </row>
    <row r="1128" spans="1:8" x14ac:dyDescent="0.25">
      <c r="A1128" s="1" t="s">
        <v>2245</v>
      </c>
      <c r="B1128" s="1" t="s">
        <v>2246</v>
      </c>
      <c r="C1128" s="1" t="s">
        <v>2750</v>
      </c>
      <c r="D1128" s="1" t="s">
        <v>2852</v>
      </c>
      <c r="E1128">
        <v>4995</v>
      </c>
      <c r="F1128">
        <v>0.34</v>
      </c>
      <c r="G1128">
        <v>3.8</v>
      </c>
      <c r="H1128">
        <v>1393</v>
      </c>
    </row>
    <row r="1129" spans="1:8" x14ac:dyDescent="0.25">
      <c r="A1129" s="1" t="s">
        <v>2247</v>
      </c>
      <c r="B1129" s="1" t="s">
        <v>2248</v>
      </c>
      <c r="C1129" s="1" t="s">
        <v>2750</v>
      </c>
      <c r="D1129" s="1" t="s">
        <v>2842</v>
      </c>
      <c r="E1129">
        <v>1499</v>
      </c>
      <c r="F1129">
        <v>0.55000000000000004</v>
      </c>
      <c r="G1129">
        <v>2.2999999999999998</v>
      </c>
      <c r="H1129">
        <v>13</v>
      </c>
    </row>
    <row r="1130" spans="1:8" x14ac:dyDescent="0.25">
      <c r="A1130" s="1" t="s">
        <v>2249</v>
      </c>
      <c r="B1130" s="1" t="s">
        <v>2250</v>
      </c>
      <c r="C1130" s="1" t="s">
        <v>2750</v>
      </c>
      <c r="D1130" s="1" t="s">
        <v>2853</v>
      </c>
      <c r="E1130">
        <v>7506</v>
      </c>
      <c r="F1130">
        <v>0.22</v>
      </c>
      <c r="G1130">
        <v>4.5</v>
      </c>
      <c r="H1130">
        <v>7241</v>
      </c>
    </row>
    <row r="1131" spans="1:8" x14ac:dyDescent="0.25">
      <c r="A1131" s="1" t="s">
        <v>2251</v>
      </c>
      <c r="B1131" s="1" t="s">
        <v>2252</v>
      </c>
      <c r="C1131" s="1" t="s">
        <v>2750</v>
      </c>
      <c r="D1131" s="1" t="s">
        <v>2876</v>
      </c>
      <c r="E1131">
        <v>18000</v>
      </c>
      <c r="F1131">
        <v>0.49</v>
      </c>
      <c r="G1131">
        <v>4</v>
      </c>
      <c r="H1131">
        <v>16020</v>
      </c>
    </row>
    <row r="1132" spans="1:8" x14ac:dyDescent="0.25">
      <c r="A1132" s="1" t="s">
        <v>2253</v>
      </c>
      <c r="B1132" s="1" t="s">
        <v>2254</v>
      </c>
      <c r="C1132" s="1" t="s">
        <v>2750</v>
      </c>
      <c r="D1132" s="1" t="s">
        <v>2851</v>
      </c>
      <c r="E1132">
        <v>1099</v>
      </c>
      <c r="F1132">
        <v>0.68</v>
      </c>
      <c r="G1132">
        <v>3.7</v>
      </c>
      <c r="H1132">
        <v>1470</v>
      </c>
    </row>
    <row r="1133" spans="1:8" x14ac:dyDescent="0.25">
      <c r="A1133" s="1" t="s">
        <v>2255</v>
      </c>
      <c r="B1133" s="1" t="s">
        <v>2256</v>
      </c>
      <c r="C1133" s="1" t="s">
        <v>2885</v>
      </c>
      <c r="D1133" s="1" t="s">
        <v>2886</v>
      </c>
      <c r="E1133">
        <v>1900</v>
      </c>
      <c r="F1133">
        <v>0.53</v>
      </c>
      <c r="G1133">
        <v>4</v>
      </c>
      <c r="H1133">
        <v>3663</v>
      </c>
    </row>
    <row r="1134" spans="1:8" x14ac:dyDescent="0.25">
      <c r="A1134" s="1" t="s">
        <v>2257</v>
      </c>
      <c r="B1134" s="1" t="s">
        <v>2258</v>
      </c>
      <c r="C1134" s="1" t="s">
        <v>2750</v>
      </c>
      <c r="D1134" s="1" t="s">
        <v>2847</v>
      </c>
      <c r="E1134">
        <v>1850</v>
      </c>
      <c r="F1134">
        <v>0.27</v>
      </c>
      <c r="G1134">
        <v>4.4000000000000004</v>
      </c>
      <c r="H1134">
        <v>638</v>
      </c>
    </row>
    <row r="1135" spans="1:8" x14ac:dyDescent="0.25">
      <c r="A1135" s="1" t="s">
        <v>2259</v>
      </c>
      <c r="B1135" s="1" t="s">
        <v>2260</v>
      </c>
      <c r="C1135" s="1" t="s">
        <v>2750</v>
      </c>
      <c r="D1135" s="1" t="s">
        <v>2874</v>
      </c>
      <c r="E1135">
        <v>9999</v>
      </c>
      <c r="F1135">
        <v>0.38</v>
      </c>
      <c r="G1135">
        <v>4.0999999999999996</v>
      </c>
      <c r="H1135">
        <v>3552</v>
      </c>
    </row>
    <row r="1136" spans="1:8" x14ac:dyDescent="0.25">
      <c r="A1136" s="1" t="s">
        <v>2261</v>
      </c>
      <c r="B1136" s="1" t="s">
        <v>2262</v>
      </c>
      <c r="C1136" s="1" t="s">
        <v>2750</v>
      </c>
      <c r="D1136" s="1" t="s">
        <v>2842</v>
      </c>
      <c r="E1136">
        <v>3995</v>
      </c>
      <c r="F1136">
        <v>0.31</v>
      </c>
      <c r="G1136">
        <v>4.4000000000000004</v>
      </c>
      <c r="H1136">
        <v>11148</v>
      </c>
    </row>
    <row r="1137" spans="1:8" x14ac:dyDescent="0.25">
      <c r="A1137" s="1" t="s">
        <v>2263</v>
      </c>
      <c r="B1137" s="1" t="s">
        <v>2264</v>
      </c>
      <c r="C1137" s="1" t="s">
        <v>2750</v>
      </c>
      <c r="D1137" s="1" t="s">
        <v>2878</v>
      </c>
      <c r="E1137">
        <v>1499</v>
      </c>
      <c r="F1137">
        <v>0.52</v>
      </c>
      <c r="G1137">
        <v>3.1</v>
      </c>
      <c r="H1137">
        <v>2449</v>
      </c>
    </row>
    <row r="1138" spans="1:8" x14ac:dyDescent="0.25">
      <c r="A1138" s="1" t="s">
        <v>2265</v>
      </c>
      <c r="B1138" s="1" t="s">
        <v>2266</v>
      </c>
      <c r="C1138" s="1" t="s">
        <v>2750</v>
      </c>
      <c r="D1138" s="1" t="s">
        <v>2852</v>
      </c>
      <c r="E1138">
        <v>3295</v>
      </c>
      <c r="F1138">
        <v>0.12</v>
      </c>
      <c r="G1138">
        <v>4.3</v>
      </c>
      <c r="H1138">
        <v>2299</v>
      </c>
    </row>
    <row r="1139" spans="1:8" x14ac:dyDescent="0.25">
      <c r="A1139" s="1" t="s">
        <v>2267</v>
      </c>
      <c r="B1139" s="1" t="s">
        <v>2268</v>
      </c>
      <c r="C1139" s="1" t="s">
        <v>2750</v>
      </c>
      <c r="D1139" s="1" t="s">
        <v>2857</v>
      </c>
      <c r="E1139">
        <v>2695</v>
      </c>
      <c r="F1139">
        <v>0.39</v>
      </c>
      <c r="G1139">
        <v>4.4000000000000004</v>
      </c>
      <c r="H1139">
        <v>6027</v>
      </c>
    </row>
    <row r="1140" spans="1:8" x14ac:dyDescent="0.25">
      <c r="A1140" s="1" t="s">
        <v>2269</v>
      </c>
      <c r="B1140" s="1" t="s">
        <v>2270</v>
      </c>
      <c r="C1140" s="1" t="s">
        <v>2750</v>
      </c>
      <c r="D1140" s="1" t="s">
        <v>2855</v>
      </c>
      <c r="E1140">
        <v>2290</v>
      </c>
      <c r="F1140">
        <v>0.39</v>
      </c>
      <c r="G1140">
        <v>4.4000000000000004</v>
      </c>
      <c r="H1140">
        <v>461</v>
      </c>
    </row>
    <row r="1141" spans="1:8" x14ac:dyDescent="0.25">
      <c r="A1141" s="1" t="s">
        <v>2271</v>
      </c>
      <c r="B1141" s="1" t="s">
        <v>2272</v>
      </c>
      <c r="C1141" s="1" t="s">
        <v>2750</v>
      </c>
      <c r="D1141" s="1" t="s">
        <v>2856</v>
      </c>
      <c r="E1141">
        <v>3099</v>
      </c>
      <c r="F1141">
        <v>0.33</v>
      </c>
      <c r="G1141">
        <v>4.0999999999999996</v>
      </c>
      <c r="H1141">
        <v>282</v>
      </c>
    </row>
    <row r="1142" spans="1:8" x14ac:dyDescent="0.25">
      <c r="A1142" s="1" t="s">
        <v>2273</v>
      </c>
      <c r="B1142" s="1" t="s">
        <v>2274</v>
      </c>
      <c r="C1142" s="1" t="s">
        <v>2750</v>
      </c>
      <c r="D1142" s="1" t="s">
        <v>2849</v>
      </c>
      <c r="E1142">
        <v>1075</v>
      </c>
      <c r="F1142">
        <v>7.0000000000000007E-2</v>
      </c>
      <c r="G1142">
        <v>4.0999999999999996</v>
      </c>
      <c r="H1142">
        <v>9275</v>
      </c>
    </row>
    <row r="1143" spans="1:8" x14ac:dyDescent="0.25">
      <c r="A1143" s="1" t="s">
        <v>2275</v>
      </c>
      <c r="B1143" s="1" t="s">
        <v>2276</v>
      </c>
      <c r="C1143" s="1" t="s">
        <v>2750</v>
      </c>
      <c r="D1143" s="1" t="s">
        <v>2854</v>
      </c>
      <c r="E1143">
        <v>6999</v>
      </c>
      <c r="F1143">
        <v>0.55000000000000004</v>
      </c>
      <c r="G1143">
        <v>4</v>
      </c>
      <c r="H1143">
        <v>743</v>
      </c>
    </row>
    <row r="1144" spans="1:8" x14ac:dyDescent="0.25">
      <c r="A1144" s="1" t="s">
        <v>2277</v>
      </c>
      <c r="B1144" s="1" t="s">
        <v>2278</v>
      </c>
      <c r="C1144" s="1" t="s">
        <v>2750</v>
      </c>
      <c r="D1144" s="1" t="s">
        <v>2845</v>
      </c>
      <c r="E1144">
        <v>2499</v>
      </c>
      <c r="F1144">
        <v>0.57999999999999996</v>
      </c>
      <c r="G1144">
        <v>3.6</v>
      </c>
      <c r="H1144">
        <v>328</v>
      </c>
    </row>
    <row r="1145" spans="1:8" x14ac:dyDescent="0.25">
      <c r="A1145" s="1" t="s">
        <v>2279</v>
      </c>
      <c r="B1145" s="1" t="s">
        <v>2280</v>
      </c>
      <c r="C1145" s="1" t="s">
        <v>2750</v>
      </c>
      <c r="D1145" s="1" t="s">
        <v>2845</v>
      </c>
      <c r="E1145">
        <v>7290</v>
      </c>
      <c r="F1145">
        <v>0.51</v>
      </c>
      <c r="G1145">
        <v>3.9</v>
      </c>
      <c r="H1145">
        <v>942</v>
      </c>
    </row>
    <row r="1146" spans="1:8" x14ac:dyDescent="0.25">
      <c r="A1146" s="1" t="s">
        <v>2281</v>
      </c>
      <c r="B1146" s="1" t="s">
        <v>2282</v>
      </c>
      <c r="C1146" s="1" t="s">
        <v>2750</v>
      </c>
      <c r="D1146" s="1" t="s">
        <v>2887</v>
      </c>
      <c r="E1146">
        <v>5795</v>
      </c>
      <c r="F1146">
        <v>0.17</v>
      </c>
      <c r="G1146">
        <v>3.9</v>
      </c>
      <c r="H1146">
        <v>3815</v>
      </c>
    </row>
    <row r="1147" spans="1:8" x14ac:dyDescent="0.25">
      <c r="A1147" s="1" t="s">
        <v>2283</v>
      </c>
      <c r="B1147" s="1" t="s">
        <v>2284</v>
      </c>
      <c r="C1147" s="1" t="s">
        <v>2750</v>
      </c>
      <c r="D1147" s="1" t="s">
        <v>2844</v>
      </c>
      <c r="E1147">
        <v>3398</v>
      </c>
      <c r="F1147">
        <v>0.5</v>
      </c>
      <c r="G1147">
        <v>3.8</v>
      </c>
      <c r="H1147">
        <v>7988</v>
      </c>
    </row>
    <row r="1148" spans="1:8" x14ac:dyDescent="0.25">
      <c r="A1148" s="1" t="s">
        <v>2285</v>
      </c>
      <c r="B1148" s="1" t="s">
        <v>2286</v>
      </c>
      <c r="C1148" s="1" t="s">
        <v>2750</v>
      </c>
      <c r="D1148" s="1" t="s">
        <v>2847</v>
      </c>
      <c r="E1148">
        <v>1490</v>
      </c>
      <c r="F1148">
        <v>0.55000000000000004</v>
      </c>
      <c r="G1148">
        <v>4.0999999999999996</v>
      </c>
      <c r="H1148">
        <v>925</v>
      </c>
    </row>
    <row r="1149" spans="1:8" x14ac:dyDescent="0.25">
      <c r="A1149" s="1" t="s">
        <v>2287</v>
      </c>
      <c r="B1149" s="1" t="s">
        <v>2288</v>
      </c>
      <c r="C1149" s="1" t="s">
        <v>2750</v>
      </c>
      <c r="D1149" s="1" t="s">
        <v>2888</v>
      </c>
      <c r="E1149">
        <v>1620</v>
      </c>
      <c r="F1149">
        <v>0.41</v>
      </c>
      <c r="G1149">
        <v>4.0999999999999996</v>
      </c>
      <c r="H1149">
        <v>4370</v>
      </c>
    </row>
    <row r="1150" spans="1:8" x14ac:dyDescent="0.25">
      <c r="A1150" s="1" t="s">
        <v>2289</v>
      </c>
      <c r="B1150" s="1" t="s">
        <v>2290</v>
      </c>
      <c r="C1150" s="1" t="s">
        <v>2750</v>
      </c>
      <c r="D1150" s="1" t="s">
        <v>2843</v>
      </c>
      <c r="E1150">
        <v>1000</v>
      </c>
      <c r="F1150">
        <v>0.15</v>
      </c>
      <c r="G1150">
        <v>4.0999999999999996</v>
      </c>
      <c r="H1150">
        <v>7619</v>
      </c>
    </row>
    <row r="1151" spans="1:8" x14ac:dyDescent="0.25">
      <c r="A1151" s="1" t="s">
        <v>2291</v>
      </c>
      <c r="B1151" s="1" t="s">
        <v>2292</v>
      </c>
      <c r="C1151" s="1" t="s">
        <v>2750</v>
      </c>
      <c r="D1151" s="1" t="s">
        <v>2870</v>
      </c>
      <c r="E1151">
        <v>640</v>
      </c>
      <c r="F1151">
        <v>0.06</v>
      </c>
      <c r="G1151">
        <v>3.8</v>
      </c>
      <c r="H1151">
        <v>2593</v>
      </c>
    </row>
    <row r="1152" spans="1:8" x14ac:dyDescent="0.25">
      <c r="A1152" s="1" t="s">
        <v>2293</v>
      </c>
      <c r="B1152" s="1" t="s">
        <v>2294</v>
      </c>
      <c r="C1152" s="1" t="s">
        <v>2750</v>
      </c>
      <c r="D1152" s="1" t="s">
        <v>2836</v>
      </c>
      <c r="E1152">
        <v>4495</v>
      </c>
      <c r="F1152">
        <v>0.17</v>
      </c>
      <c r="G1152">
        <v>4.3</v>
      </c>
      <c r="H1152">
        <v>356</v>
      </c>
    </row>
    <row r="1153" spans="1:8" x14ac:dyDescent="0.25">
      <c r="A1153" s="1" t="s">
        <v>2295</v>
      </c>
      <c r="B1153" s="1" t="s">
        <v>2296</v>
      </c>
      <c r="C1153" s="1" t="s">
        <v>2750</v>
      </c>
      <c r="D1153" s="1" t="s">
        <v>2839</v>
      </c>
      <c r="E1153">
        <v>2999</v>
      </c>
      <c r="F1153">
        <v>0.73</v>
      </c>
      <c r="G1153">
        <v>4.5</v>
      </c>
      <c r="H1153">
        <v>63</v>
      </c>
    </row>
    <row r="1154" spans="1:8" x14ac:dyDescent="0.25">
      <c r="A1154" s="1" t="s">
        <v>2297</v>
      </c>
      <c r="B1154" s="1" t="s">
        <v>2298</v>
      </c>
      <c r="C1154" s="1" t="s">
        <v>2750</v>
      </c>
      <c r="D1154" s="1" t="s">
        <v>2869</v>
      </c>
      <c r="E1154">
        <v>980</v>
      </c>
      <c r="F1154">
        <v>0</v>
      </c>
      <c r="G1154">
        <v>4.2</v>
      </c>
      <c r="H1154">
        <v>4740</v>
      </c>
    </row>
    <row r="1155" spans="1:8" x14ac:dyDescent="0.25">
      <c r="A1155" s="1" t="s">
        <v>2299</v>
      </c>
      <c r="B1155" s="1" t="s">
        <v>2300</v>
      </c>
      <c r="C1155" s="1" t="s">
        <v>2750</v>
      </c>
      <c r="D1155" s="1" t="s">
        <v>2851</v>
      </c>
      <c r="E1155">
        <v>899</v>
      </c>
      <c r="F1155">
        <v>0.61</v>
      </c>
      <c r="G1155">
        <v>3.9</v>
      </c>
      <c r="H1155">
        <v>296</v>
      </c>
    </row>
    <row r="1156" spans="1:8" x14ac:dyDescent="0.25">
      <c r="A1156" s="1" t="s">
        <v>2301</v>
      </c>
      <c r="B1156" s="1" t="s">
        <v>2302</v>
      </c>
      <c r="C1156" s="1" t="s">
        <v>2750</v>
      </c>
      <c r="D1156" s="1" t="s">
        <v>2889</v>
      </c>
      <c r="E1156">
        <v>499</v>
      </c>
      <c r="F1156">
        <v>0.54</v>
      </c>
      <c r="G1156">
        <v>3.5</v>
      </c>
      <c r="H1156">
        <v>185</v>
      </c>
    </row>
    <row r="1157" spans="1:8" x14ac:dyDescent="0.25">
      <c r="A1157" s="1" t="s">
        <v>2303</v>
      </c>
      <c r="B1157" s="1" t="s">
        <v>2304</v>
      </c>
      <c r="C1157" s="1" t="s">
        <v>2750</v>
      </c>
      <c r="D1157" s="1" t="s">
        <v>2852</v>
      </c>
      <c r="E1157">
        <v>3995</v>
      </c>
      <c r="F1157">
        <v>0.16</v>
      </c>
      <c r="G1157">
        <v>4.3</v>
      </c>
      <c r="H1157">
        <v>1954</v>
      </c>
    </row>
    <row r="1158" spans="1:8" x14ac:dyDescent="0.25">
      <c r="A1158" s="1" t="s">
        <v>2305</v>
      </c>
      <c r="B1158" s="1" t="s">
        <v>2306</v>
      </c>
      <c r="C1158" s="1" t="s">
        <v>2750</v>
      </c>
      <c r="D1158" s="1" t="s">
        <v>2848</v>
      </c>
      <c r="E1158">
        <v>11500</v>
      </c>
      <c r="F1158">
        <v>0.52</v>
      </c>
      <c r="G1158">
        <v>3.9</v>
      </c>
      <c r="H1158">
        <v>959</v>
      </c>
    </row>
    <row r="1159" spans="1:8" x14ac:dyDescent="0.25">
      <c r="A1159" s="1" t="s">
        <v>2307</v>
      </c>
      <c r="B1159" s="1" t="s">
        <v>2308</v>
      </c>
      <c r="C1159" s="1" t="s">
        <v>2750</v>
      </c>
      <c r="D1159" s="1" t="s">
        <v>2838</v>
      </c>
      <c r="E1159">
        <v>499</v>
      </c>
      <c r="F1159">
        <v>0.4</v>
      </c>
      <c r="G1159">
        <v>3.9</v>
      </c>
      <c r="H1159">
        <v>1015</v>
      </c>
    </row>
    <row r="1160" spans="1:8" x14ac:dyDescent="0.25">
      <c r="A1160" s="1" t="s">
        <v>2309</v>
      </c>
      <c r="B1160" s="1" t="s">
        <v>2310</v>
      </c>
      <c r="C1160" s="1" t="s">
        <v>2750</v>
      </c>
      <c r="D1160" s="1" t="s">
        <v>2890</v>
      </c>
      <c r="E1160">
        <v>3550</v>
      </c>
      <c r="F1160">
        <v>0.37</v>
      </c>
      <c r="G1160">
        <v>4</v>
      </c>
      <c r="H1160">
        <v>3973</v>
      </c>
    </row>
    <row r="1161" spans="1:8" x14ac:dyDescent="0.25">
      <c r="A1161" s="1" t="s">
        <v>2311</v>
      </c>
      <c r="B1161" s="1" t="s">
        <v>2312</v>
      </c>
      <c r="C1161" s="1" t="s">
        <v>2750</v>
      </c>
      <c r="D1161" s="1" t="s">
        <v>2855</v>
      </c>
      <c r="E1161">
        <v>1599</v>
      </c>
      <c r="F1161">
        <v>0.56000000000000005</v>
      </c>
      <c r="G1161">
        <v>4.7</v>
      </c>
      <c r="H1161">
        <v>2300</v>
      </c>
    </row>
    <row r="1162" spans="1:8" x14ac:dyDescent="0.25">
      <c r="A1162" s="1" t="s">
        <v>2313</v>
      </c>
      <c r="B1162" s="1" t="s">
        <v>2314</v>
      </c>
      <c r="C1162" s="1" t="s">
        <v>2750</v>
      </c>
      <c r="D1162" s="1" t="s">
        <v>2836</v>
      </c>
      <c r="E1162">
        <v>1499</v>
      </c>
      <c r="F1162">
        <v>0.18</v>
      </c>
      <c r="G1162">
        <v>4.0999999999999996</v>
      </c>
      <c r="H1162">
        <v>203</v>
      </c>
    </row>
    <row r="1163" spans="1:8" x14ac:dyDescent="0.25">
      <c r="A1163" s="1" t="s">
        <v>2315</v>
      </c>
      <c r="B1163" s="1" t="s">
        <v>2316</v>
      </c>
      <c r="C1163" s="1" t="s">
        <v>2750</v>
      </c>
      <c r="D1163" s="1" t="s">
        <v>2857</v>
      </c>
      <c r="E1163">
        <v>2999</v>
      </c>
      <c r="F1163">
        <v>0.55000000000000004</v>
      </c>
      <c r="G1163">
        <v>3.8</v>
      </c>
      <c r="H1163">
        <v>441</v>
      </c>
    </row>
    <row r="1164" spans="1:8" x14ac:dyDescent="0.25">
      <c r="A1164" s="1" t="s">
        <v>2317</v>
      </c>
      <c r="B1164" s="1" t="s">
        <v>2318</v>
      </c>
      <c r="C1164" s="1" t="s">
        <v>2750</v>
      </c>
      <c r="D1164" s="1" t="s">
        <v>2848</v>
      </c>
      <c r="E1164">
        <v>11500</v>
      </c>
      <c r="F1164">
        <v>0.41</v>
      </c>
      <c r="G1164">
        <v>4.0999999999999996</v>
      </c>
      <c r="H1164">
        <v>10308</v>
      </c>
    </row>
    <row r="1165" spans="1:8" x14ac:dyDescent="0.25">
      <c r="A1165" s="1" t="s">
        <v>2319</v>
      </c>
      <c r="B1165" s="1" t="s">
        <v>2320</v>
      </c>
      <c r="C1165" s="1" t="s">
        <v>2750</v>
      </c>
      <c r="D1165" s="1" t="s">
        <v>2854</v>
      </c>
      <c r="E1165">
        <v>2499</v>
      </c>
      <c r="F1165">
        <v>0.16</v>
      </c>
      <c r="H1165">
        <v>992</v>
      </c>
    </row>
    <row r="1166" spans="1:8" x14ac:dyDescent="0.25">
      <c r="A1166" s="1" t="s">
        <v>2321</v>
      </c>
      <c r="B1166" s="1" t="s">
        <v>2322</v>
      </c>
      <c r="C1166" s="1" t="s">
        <v>2750</v>
      </c>
      <c r="D1166" s="1" t="s">
        <v>2856</v>
      </c>
      <c r="E1166">
        <v>1975</v>
      </c>
      <c r="F1166">
        <v>0.14000000000000001</v>
      </c>
      <c r="G1166">
        <v>4.0999999999999996</v>
      </c>
      <c r="H1166">
        <v>4716</v>
      </c>
    </row>
    <row r="1167" spans="1:8" x14ac:dyDescent="0.25">
      <c r="A1167" s="1" t="s">
        <v>2323</v>
      </c>
      <c r="B1167" s="1" t="s">
        <v>2324</v>
      </c>
      <c r="C1167" s="1" t="s">
        <v>2750</v>
      </c>
      <c r="D1167" s="1" t="s">
        <v>2837</v>
      </c>
      <c r="E1167">
        <v>1699</v>
      </c>
      <c r="F1167">
        <v>0.37</v>
      </c>
      <c r="G1167">
        <v>3.9</v>
      </c>
      <c r="H1167">
        <v>313</v>
      </c>
    </row>
    <row r="1168" spans="1:8" x14ac:dyDescent="0.25">
      <c r="A1168" s="1" t="s">
        <v>2325</v>
      </c>
      <c r="B1168" s="1" t="s">
        <v>2326</v>
      </c>
      <c r="C1168" s="1" t="s">
        <v>2750</v>
      </c>
      <c r="D1168" s="1" t="s">
        <v>2837</v>
      </c>
      <c r="E1168">
        <v>2495</v>
      </c>
      <c r="F1168">
        <v>0.46</v>
      </c>
      <c r="G1168">
        <v>3.8</v>
      </c>
      <c r="H1168">
        <v>166</v>
      </c>
    </row>
    <row r="1169" spans="1:8" x14ac:dyDescent="0.25">
      <c r="A1169" s="1" t="s">
        <v>2327</v>
      </c>
      <c r="B1169" s="1" t="s">
        <v>2328</v>
      </c>
      <c r="C1169" s="1" t="s">
        <v>2750</v>
      </c>
      <c r="D1169" s="1" t="s">
        <v>2849</v>
      </c>
      <c r="E1169">
        <v>3500</v>
      </c>
      <c r="F1169">
        <v>0.56999999999999995</v>
      </c>
      <c r="G1169">
        <v>4.0999999999999996</v>
      </c>
      <c r="H1169">
        <v>303</v>
      </c>
    </row>
    <row r="1170" spans="1:8" x14ac:dyDescent="0.25">
      <c r="A1170" s="1" t="s">
        <v>2329</v>
      </c>
      <c r="B1170" s="1" t="s">
        <v>2330</v>
      </c>
      <c r="C1170" s="1" t="s">
        <v>2750</v>
      </c>
      <c r="D1170" s="1" t="s">
        <v>2856</v>
      </c>
      <c r="E1170">
        <v>4600</v>
      </c>
      <c r="F1170">
        <v>0.55000000000000004</v>
      </c>
      <c r="G1170">
        <v>4.3</v>
      </c>
      <c r="H1170">
        <v>562</v>
      </c>
    </row>
    <row r="1171" spans="1:8" x14ac:dyDescent="0.25">
      <c r="A1171" s="1" t="s">
        <v>2331</v>
      </c>
      <c r="B1171" s="1" t="s">
        <v>2332</v>
      </c>
      <c r="C1171" s="1" t="s">
        <v>2750</v>
      </c>
      <c r="D1171" s="1" t="s">
        <v>2874</v>
      </c>
      <c r="E1171">
        <v>10295</v>
      </c>
      <c r="F1171">
        <v>0.63</v>
      </c>
      <c r="G1171">
        <v>3.9</v>
      </c>
      <c r="H1171">
        <v>8095</v>
      </c>
    </row>
    <row r="1172" spans="1:8" x14ac:dyDescent="0.25">
      <c r="A1172" s="1" t="s">
        <v>2333</v>
      </c>
      <c r="B1172" s="1" t="s">
        <v>2334</v>
      </c>
      <c r="C1172" s="1" t="s">
        <v>2750</v>
      </c>
      <c r="D1172" s="1" t="s">
        <v>2853</v>
      </c>
      <c r="E1172">
        <v>2199</v>
      </c>
      <c r="F1172">
        <v>0.77</v>
      </c>
      <c r="G1172">
        <v>2.8</v>
      </c>
      <c r="H1172">
        <v>109</v>
      </c>
    </row>
    <row r="1173" spans="1:8" x14ac:dyDescent="0.25">
      <c r="A1173" s="1" t="s">
        <v>2335</v>
      </c>
      <c r="B1173" s="1" t="s">
        <v>2336</v>
      </c>
      <c r="C1173" s="1" t="s">
        <v>2750</v>
      </c>
      <c r="D1173" s="1" t="s">
        <v>2860</v>
      </c>
      <c r="E1173">
        <v>2380</v>
      </c>
      <c r="F1173">
        <v>0.24</v>
      </c>
      <c r="G1173">
        <v>4</v>
      </c>
      <c r="H1173">
        <v>15382</v>
      </c>
    </row>
    <row r="1174" spans="1:8" x14ac:dyDescent="0.25">
      <c r="A1174" s="1" t="s">
        <v>2337</v>
      </c>
      <c r="B1174" s="1" t="s">
        <v>2338</v>
      </c>
      <c r="C1174" s="1" t="s">
        <v>2750</v>
      </c>
      <c r="D1174" s="1" t="s">
        <v>2853</v>
      </c>
      <c r="E1174">
        <v>8820</v>
      </c>
      <c r="F1174">
        <v>0.26</v>
      </c>
      <c r="G1174">
        <v>4.5</v>
      </c>
      <c r="H1174">
        <v>5137</v>
      </c>
    </row>
    <row r="1175" spans="1:8" x14ac:dyDescent="0.25">
      <c r="A1175" s="1" t="s">
        <v>2339</v>
      </c>
      <c r="B1175" s="1" t="s">
        <v>2340</v>
      </c>
      <c r="C1175" s="1" t="s">
        <v>2750</v>
      </c>
      <c r="D1175" s="1" t="s">
        <v>2876</v>
      </c>
      <c r="E1175">
        <v>24999</v>
      </c>
      <c r="F1175">
        <v>0.8</v>
      </c>
      <c r="G1175">
        <v>4.5999999999999996</v>
      </c>
      <c r="H1175">
        <v>124</v>
      </c>
    </row>
    <row r="1176" spans="1:8" x14ac:dyDescent="0.25">
      <c r="A1176" s="1" t="s">
        <v>2341</v>
      </c>
      <c r="B1176" s="1" t="s">
        <v>2342</v>
      </c>
      <c r="C1176" s="1" t="s">
        <v>2750</v>
      </c>
      <c r="D1176" s="1" t="s">
        <v>2868</v>
      </c>
      <c r="E1176">
        <v>2400</v>
      </c>
      <c r="F1176">
        <v>0.5</v>
      </c>
      <c r="G1176">
        <v>4.0999999999999996</v>
      </c>
      <c r="H1176">
        <v>618</v>
      </c>
    </row>
    <row r="1177" spans="1:8" x14ac:dyDescent="0.25">
      <c r="A1177" s="1" t="s">
        <v>2343</v>
      </c>
      <c r="B1177" s="1" t="s">
        <v>2344</v>
      </c>
      <c r="C1177" s="1" t="s">
        <v>2750</v>
      </c>
      <c r="D1177" s="1" t="s">
        <v>2837</v>
      </c>
      <c r="E1177">
        <v>4200</v>
      </c>
      <c r="F1177">
        <v>0.38</v>
      </c>
      <c r="G1177">
        <v>4.0999999999999996</v>
      </c>
      <c r="H1177">
        <v>63</v>
      </c>
    </row>
    <row r="1178" spans="1:8" x14ac:dyDescent="0.25">
      <c r="A1178" s="1" t="s">
        <v>2345</v>
      </c>
      <c r="B1178" s="1" t="s">
        <v>2346</v>
      </c>
      <c r="C1178" s="1" t="s">
        <v>2750</v>
      </c>
      <c r="D1178" s="1" t="s">
        <v>2837</v>
      </c>
      <c r="E1178">
        <v>1599</v>
      </c>
      <c r="F1178">
        <v>0.44</v>
      </c>
      <c r="G1178">
        <v>3.4</v>
      </c>
      <c r="H1178">
        <v>15</v>
      </c>
    </row>
    <row r="1179" spans="1:8" x14ac:dyDescent="0.25">
      <c r="A1179" s="1" t="s">
        <v>2347</v>
      </c>
      <c r="B1179" s="1" t="s">
        <v>2348</v>
      </c>
      <c r="C1179" s="1" t="s">
        <v>2750</v>
      </c>
      <c r="D1179" s="1" t="s">
        <v>2837</v>
      </c>
      <c r="E1179">
        <v>2999</v>
      </c>
      <c r="F1179">
        <v>0.67</v>
      </c>
      <c r="G1179">
        <v>4.5999999999999996</v>
      </c>
      <c r="H1179">
        <v>9</v>
      </c>
    </row>
    <row r="1180" spans="1:8" x14ac:dyDescent="0.25">
      <c r="A1180" s="1" t="s">
        <v>2349</v>
      </c>
      <c r="B1180" s="1" t="s">
        <v>2350</v>
      </c>
      <c r="C1180" s="1" t="s">
        <v>2750</v>
      </c>
      <c r="D1180" s="1" t="s">
        <v>2851</v>
      </c>
      <c r="E1180">
        <v>1282</v>
      </c>
      <c r="F1180">
        <v>0.22</v>
      </c>
      <c r="G1180">
        <v>4.2</v>
      </c>
      <c r="H1180">
        <v>7274</v>
      </c>
    </row>
    <row r="1181" spans="1:8" x14ac:dyDescent="0.25">
      <c r="A1181" s="1" t="s">
        <v>2351</v>
      </c>
      <c r="B1181" s="1" t="s">
        <v>2352</v>
      </c>
      <c r="C1181" s="1" t="s">
        <v>2750</v>
      </c>
      <c r="D1181" s="1" t="s">
        <v>2860</v>
      </c>
      <c r="E1181">
        <v>1990</v>
      </c>
      <c r="F1181">
        <v>0.45</v>
      </c>
      <c r="G1181">
        <v>3.9</v>
      </c>
      <c r="H1181">
        <v>5911</v>
      </c>
    </row>
    <row r="1182" spans="1:8" x14ac:dyDescent="0.25">
      <c r="A1182" s="1" t="s">
        <v>2353</v>
      </c>
      <c r="B1182" s="1" t="s">
        <v>2354</v>
      </c>
      <c r="C1182" s="1" t="s">
        <v>2750</v>
      </c>
      <c r="D1182" s="1" t="s">
        <v>2862</v>
      </c>
      <c r="E1182">
        <v>9999</v>
      </c>
      <c r="F1182">
        <v>0.4</v>
      </c>
      <c r="G1182">
        <v>4.2</v>
      </c>
      <c r="H1182">
        <v>170</v>
      </c>
    </row>
    <row r="1183" spans="1:8" x14ac:dyDescent="0.25">
      <c r="A1183" s="1" t="s">
        <v>2355</v>
      </c>
      <c r="B1183" s="1" t="s">
        <v>2356</v>
      </c>
      <c r="C1183" s="1" t="s">
        <v>2750</v>
      </c>
      <c r="D1183" s="1" t="s">
        <v>2874</v>
      </c>
      <c r="E1183">
        <v>11850</v>
      </c>
      <c r="F1183">
        <v>0.25</v>
      </c>
      <c r="G1183">
        <v>4.2</v>
      </c>
      <c r="H1183">
        <v>3065</v>
      </c>
    </row>
    <row r="1184" spans="1:8" x14ac:dyDescent="0.25">
      <c r="A1184" s="1" t="s">
        <v>2357</v>
      </c>
      <c r="B1184" s="1" t="s">
        <v>2358</v>
      </c>
      <c r="C1184" s="1" t="s">
        <v>2750</v>
      </c>
      <c r="D1184" s="1" t="s">
        <v>2838</v>
      </c>
      <c r="E1184">
        <v>999</v>
      </c>
      <c r="F1184">
        <v>0.52</v>
      </c>
      <c r="G1184">
        <v>4.0999999999999996</v>
      </c>
      <c r="H1184">
        <v>1021</v>
      </c>
    </row>
    <row r="1185" spans="1:8" x14ac:dyDescent="0.25">
      <c r="A1185" s="1" t="s">
        <v>2359</v>
      </c>
      <c r="B1185" s="1" t="s">
        <v>2360</v>
      </c>
      <c r="C1185" s="1" t="s">
        <v>2750</v>
      </c>
      <c r="D1185" s="1" t="s">
        <v>2850</v>
      </c>
      <c r="E1185">
        <v>20049</v>
      </c>
      <c r="F1185">
        <v>0.75</v>
      </c>
      <c r="G1185">
        <v>4.8</v>
      </c>
      <c r="H1185">
        <v>3964</v>
      </c>
    </row>
    <row r="1186" spans="1:8" x14ac:dyDescent="0.25">
      <c r="A1186" s="1" t="s">
        <v>2361</v>
      </c>
      <c r="B1186" s="1" t="s">
        <v>2362</v>
      </c>
      <c r="C1186" s="1" t="s">
        <v>2750</v>
      </c>
      <c r="D1186" s="1" t="s">
        <v>2876</v>
      </c>
      <c r="E1186">
        <v>24850</v>
      </c>
      <c r="F1186">
        <v>0.44</v>
      </c>
      <c r="G1186">
        <v>4.4000000000000004</v>
      </c>
      <c r="H1186">
        <v>8948</v>
      </c>
    </row>
    <row r="1187" spans="1:8" x14ac:dyDescent="0.25">
      <c r="A1187" s="1" t="s">
        <v>2363</v>
      </c>
      <c r="B1187" s="1" t="s">
        <v>2364</v>
      </c>
      <c r="C1187" s="1" t="s">
        <v>2750</v>
      </c>
      <c r="D1187" s="1" t="s">
        <v>2876</v>
      </c>
      <c r="E1187">
        <v>16490</v>
      </c>
      <c r="F1187">
        <v>0.48</v>
      </c>
      <c r="G1187">
        <v>4.3</v>
      </c>
      <c r="H1187">
        <v>97</v>
      </c>
    </row>
    <row r="1188" spans="1:8" x14ac:dyDescent="0.25">
      <c r="A1188" s="1" t="s">
        <v>2365</v>
      </c>
      <c r="B1188" s="1" t="s">
        <v>2366</v>
      </c>
      <c r="C1188" s="1" t="s">
        <v>2750</v>
      </c>
      <c r="D1188" s="1" t="s">
        <v>2843</v>
      </c>
      <c r="E1188">
        <v>975</v>
      </c>
      <c r="F1188">
        <v>0.03</v>
      </c>
      <c r="G1188">
        <v>4.3</v>
      </c>
      <c r="H1188">
        <v>7223</v>
      </c>
    </row>
    <row r="1189" spans="1:8" x14ac:dyDescent="0.25">
      <c r="A1189" s="1" t="s">
        <v>2367</v>
      </c>
      <c r="B1189" s="1" t="s">
        <v>2368</v>
      </c>
      <c r="C1189" s="1" t="s">
        <v>2750</v>
      </c>
      <c r="D1189" s="1" t="s">
        <v>2851</v>
      </c>
      <c r="E1189">
        <v>499</v>
      </c>
      <c r="F1189">
        <v>0.21</v>
      </c>
      <c r="G1189">
        <v>4</v>
      </c>
      <c r="H1189">
        <v>330</v>
      </c>
    </row>
    <row r="1190" spans="1:8" x14ac:dyDescent="0.25">
      <c r="A1190" s="1" t="s">
        <v>2369</v>
      </c>
      <c r="B1190" s="1" t="s">
        <v>2370</v>
      </c>
      <c r="C1190" s="1" t="s">
        <v>2750</v>
      </c>
      <c r="D1190" s="1" t="s">
        <v>2891</v>
      </c>
      <c r="E1190">
        <v>635</v>
      </c>
      <c r="F1190">
        <v>0</v>
      </c>
      <c r="G1190">
        <v>4.3</v>
      </c>
      <c r="H1190">
        <v>4570</v>
      </c>
    </row>
    <row r="1191" spans="1:8" x14ac:dyDescent="0.25">
      <c r="A1191" s="1" t="s">
        <v>2371</v>
      </c>
      <c r="B1191" s="1" t="s">
        <v>2372</v>
      </c>
      <c r="C1191" s="1" t="s">
        <v>2750</v>
      </c>
      <c r="D1191" s="1" t="s">
        <v>2843</v>
      </c>
      <c r="E1191">
        <v>1390</v>
      </c>
      <c r="F1191">
        <v>0.48</v>
      </c>
      <c r="G1191">
        <v>4</v>
      </c>
      <c r="H1191">
        <v>4867</v>
      </c>
    </row>
    <row r="1192" spans="1:8" x14ac:dyDescent="0.25">
      <c r="A1192" s="1" t="s">
        <v>2373</v>
      </c>
      <c r="B1192" s="1" t="s">
        <v>2374</v>
      </c>
      <c r="C1192" s="1" t="s">
        <v>2750</v>
      </c>
      <c r="D1192" s="1" t="s">
        <v>2892</v>
      </c>
      <c r="E1192">
        <v>59900</v>
      </c>
      <c r="F1192">
        <v>0.53</v>
      </c>
      <c r="G1192">
        <v>4.4000000000000004</v>
      </c>
      <c r="H1192">
        <v>5298</v>
      </c>
    </row>
    <row r="1193" spans="1:8" x14ac:dyDescent="0.25">
      <c r="A1193" s="1" t="s">
        <v>2375</v>
      </c>
      <c r="B1193" s="1" t="s">
        <v>2376</v>
      </c>
      <c r="C1193" s="1" t="s">
        <v>2750</v>
      </c>
      <c r="D1193" s="1" t="s">
        <v>2870</v>
      </c>
      <c r="E1193">
        <v>670</v>
      </c>
      <c r="F1193">
        <v>0.03</v>
      </c>
      <c r="G1193">
        <v>4.0999999999999996</v>
      </c>
      <c r="H1193">
        <v>7786</v>
      </c>
    </row>
    <row r="1194" spans="1:8" x14ac:dyDescent="0.25">
      <c r="A1194" s="1" t="s">
        <v>2377</v>
      </c>
      <c r="B1194" s="1" t="s">
        <v>2378</v>
      </c>
      <c r="C1194" s="1" t="s">
        <v>2750</v>
      </c>
      <c r="D1194" s="1" t="s">
        <v>2869</v>
      </c>
      <c r="E1194">
        <v>399</v>
      </c>
      <c r="F1194">
        <v>0.52</v>
      </c>
      <c r="G1194">
        <v>3.6</v>
      </c>
      <c r="H1194">
        <v>37</v>
      </c>
    </row>
    <row r="1195" spans="1:8" x14ac:dyDescent="0.25">
      <c r="A1195" s="1" t="s">
        <v>2379</v>
      </c>
      <c r="B1195" s="1" t="s">
        <v>2380</v>
      </c>
      <c r="C1195" s="1" t="s">
        <v>2750</v>
      </c>
      <c r="D1195" s="1" t="s">
        <v>2837</v>
      </c>
      <c r="E1195">
        <v>2495</v>
      </c>
      <c r="F1195">
        <v>0.48</v>
      </c>
      <c r="G1195">
        <v>2</v>
      </c>
      <c r="H1195">
        <v>2</v>
      </c>
    </row>
    <row r="1196" spans="1:8" x14ac:dyDescent="0.25">
      <c r="A1196" s="1" t="s">
        <v>2381</v>
      </c>
      <c r="B1196" s="1" t="s">
        <v>2382</v>
      </c>
      <c r="C1196" s="1" t="s">
        <v>2750</v>
      </c>
      <c r="D1196" s="1" t="s">
        <v>2844</v>
      </c>
      <c r="E1196">
        <v>3390</v>
      </c>
      <c r="F1196">
        <v>0.28000000000000003</v>
      </c>
      <c r="G1196">
        <v>4</v>
      </c>
      <c r="H1196">
        <v>5206</v>
      </c>
    </row>
    <row r="1197" spans="1:8" x14ac:dyDescent="0.25">
      <c r="A1197" s="1" t="s">
        <v>2383</v>
      </c>
      <c r="B1197" s="1" t="s">
        <v>2384</v>
      </c>
      <c r="C1197" s="1" t="s">
        <v>2750</v>
      </c>
      <c r="D1197" s="1" t="s">
        <v>2845</v>
      </c>
      <c r="E1197">
        <v>2499</v>
      </c>
      <c r="F1197">
        <v>0.57999999999999996</v>
      </c>
      <c r="G1197">
        <v>3.7</v>
      </c>
      <c r="H1197">
        <v>638</v>
      </c>
    </row>
    <row r="1198" spans="1:8" x14ac:dyDescent="0.25">
      <c r="A1198" s="1" t="s">
        <v>2385</v>
      </c>
      <c r="B1198" s="1" t="s">
        <v>2386</v>
      </c>
      <c r="C1198" s="1" t="s">
        <v>2750</v>
      </c>
      <c r="D1198" s="1" t="s">
        <v>2888</v>
      </c>
      <c r="E1198">
        <v>4200</v>
      </c>
      <c r="F1198">
        <v>0.43</v>
      </c>
      <c r="G1198">
        <v>3.8</v>
      </c>
      <c r="H1198">
        <v>397</v>
      </c>
    </row>
    <row r="1199" spans="1:8" x14ac:dyDescent="0.25">
      <c r="A1199" s="1" t="s">
        <v>2387</v>
      </c>
      <c r="B1199" s="1" t="s">
        <v>2388</v>
      </c>
      <c r="C1199" s="1" t="s">
        <v>2750</v>
      </c>
      <c r="D1199" s="1" t="s">
        <v>2854</v>
      </c>
      <c r="E1199">
        <v>4495</v>
      </c>
      <c r="F1199">
        <v>0.49</v>
      </c>
      <c r="G1199">
        <v>3.9</v>
      </c>
      <c r="H1199">
        <v>326</v>
      </c>
    </row>
    <row r="1200" spans="1:8" x14ac:dyDescent="0.25">
      <c r="A1200" s="1" t="s">
        <v>2389</v>
      </c>
      <c r="B1200" s="1" t="s">
        <v>2390</v>
      </c>
      <c r="C1200" s="1" t="s">
        <v>2750</v>
      </c>
      <c r="D1200" s="1" t="s">
        <v>2883</v>
      </c>
      <c r="E1200">
        <v>2199</v>
      </c>
      <c r="F1200">
        <v>0.77</v>
      </c>
      <c r="G1200">
        <v>3.1</v>
      </c>
      <c r="H1200">
        <v>3527</v>
      </c>
    </row>
    <row r="1201" spans="1:8" x14ac:dyDescent="0.25">
      <c r="A1201" s="1" t="s">
        <v>2391</v>
      </c>
      <c r="B1201" s="1" t="s">
        <v>2392</v>
      </c>
      <c r="C1201" s="1" t="s">
        <v>2750</v>
      </c>
      <c r="D1201" s="1" t="s">
        <v>2859</v>
      </c>
      <c r="E1201">
        <v>999</v>
      </c>
      <c r="F1201">
        <v>0.56999999999999995</v>
      </c>
      <c r="G1201">
        <v>3</v>
      </c>
      <c r="H1201">
        <v>617</v>
      </c>
    </row>
    <row r="1202" spans="1:8" x14ac:dyDescent="0.25">
      <c r="A1202" s="1" t="s">
        <v>2393</v>
      </c>
      <c r="B1202" s="1" t="s">
        <v>2394</v>
      </c>
      <c r="C1202" s="1" t="s">
        <v>2750</v>
      </c>
      <c r="D1202" s="1" t="s">
        <v>2856</v>
      </c>
      <c r="E1202">
        <v>595</v>
      </c>
      <c r="F1202">
        <v>0.5</v>
      </c>
      <c r="G1202">
        <v>4</v>
      </c>
      <c r="H1202">
        <v>314</v>
      </c>
    </row>
    <row r="1203" spans="1:8" x14ac:dyDescent="0.25">
      <c r="A1203" s="1" t="s">
        <v>2395</v>
      </c>
      <c r="B1203" s="1" t="s">
        <v>2396</v>
      </c>
      <c r="C1203" s="1" t="s">
        <v>2750</v>
      </c>
      <c r="D1203" s="1" t="s">
        <v>2876</v>
      </c>
      <c r="E1203">
        <v>19990</v>
      </c>
      <c r="F1203">
        <v>0.73</v>
      </c>
      <c r="G1203">
        <v>4.4000000000000004</v>
      </c>
      <c r="H1203">
        <v>535</v>
      </c>
    </row>
    <row r="1204" spans="1:8" x14ac:dyDescent="0.25">
      <c r="A1204" s="1" t="s">
        <v>2397</v>
      </c>
      <c r="B1204" s="1" t="s">
        <v>2398</v>
      </c>
      <c r="C1204" s="1" t="s">
        <v>2750</v>
      </c>
      <c r="D1204" s="1" t="s">
        <v>2843</v>
      </c>
      <c r="E1204">
        <v>1010</v>
      </c>
      <c r="F1204">
        <v>0.45</v>
      </c>
      <c r="G1204">
        <v>4.0999999999999996</v>
      </c>
      <c r="H1204">
        <v>17325</v>
      </c>
    </row>
    <row r="1205" spans="1:8" x14ac:dyDescent="0.25">
      <c r="A1205" s="1" t="s">
        <v>2399</v>
      </c>
      <c r="B1205" s="1" t="s">
        <v>2400</v>
      </c>
      <c r="C1205" s="1" t="s">
        <v>2750</v>
      </c>
      <c r="D1205" s="1" t="s">
        <v>2843</v>
      </c>
      <c r="E1205">
        <v>1100</v>
      </c>
      <c r="F1205">
        <v>0.4</v>
      </c>
      <c r="G1205">
        <v>3.6</v>
      </c>
      <c r="H1205">
        <v>91</v>
      </c>
    </row>
    <row r="1206" spans="1:8" x14ac:dyDescent="0.25">
      <c r="A1206" s="1" t="s">
        <v>2401</v>
      </c>
      <c r="B1206" s="1" t="s">
        <v>2402</v>
      </c>
      <c r="C1206" s="1" t="s">
        <v>2750</v>
      </c>
      <c r="D1206" s="1" t="s">
        <v>2855</v>
      </c>
      <c r="E1206">
        <v>999</v>
      </c>
      <c r="F1206">
        <v>0.57999999999999996</v>
      </c>
      <c r="G1206">
        <v>4.4000000000000004</v>
      </c>
      <c r="H1206">
        <v>227</v>
      </c>
    </row>
    <row r="1207" spans="1:8" x14ac:dyDescent="0.25">
      <c r="A1207" s="1" t="s">
        <v>2403</v>
      </c>
      <c r="B1207" s="1" t="s">
        <v>2404</v>
      </c>
      <c r="C1207" s="1" t="s">
        <v>2750</v>
      </c>
      <c r="D1207" s="1" t="s">
        <v>2848</v>
      </c>
      <c r="E1207">
        <v>10900</v>
      </c>
      <c r="F1207">
        <v>0.33</v>
      </c>
      <c r="G1207">
        <v>4.2</v>
      </c>
      <c r="H1207">
        <v>11957</v>
      </c>
    </row>
    <row r="1208" spans="1:8" x14ac:dyDescent="0.25">
      <c r="A1208" s="1" t="s">
        <v>2405</v>
      </c>
      <c r="B1208" s="1" t="s">
        <v>2406</v>
      </c>
      <c r="C1208" s="1" t="s">
        <v>2750</v>
      </c>
      <c r="D1208" s="1" t="s">
        <v>2860</v>
      </c>
      <c r="E1208">
        <v>4005</v>
      </c>
      <c r="F1208">
        <v>0.28000000000000003</v>
      </c>
      <c r="G1208">
        <v>4.3</v>
      </c>
      <c r="H1208">
        <v>7140</v>
      </c>
    </row>
    <row r="1209" spans="1:8" x14ac:dyDescent="0.25">
      <c r="A1209" s="1" t="s">
        <v>2407</v>
      </c>
      <c r="B1209" s="1" t="s">
        <v>2408</v>
      </c>
      <c r="C1209" s="1" t="s">
        <v>2750</v>
      </c>
      <c r="D1209" s="1" t="s">
        <v>2854</v>
      </c>
      <c r="E1209">
        <v>3295</v>
      </c>
      <c r="F1209">
        <v>0.45</v>
      </c>
      <c r="G1209">
        <v>3.8</v>
      </c>
      <c r="H1209">
        <v>687</v>
      </c>
    </row>
    <row r="1210" spans="1:8" x14ac:dyDescent="0.25">
      <c r="A1210" s="1" t="s">
        <v>2409</v>
      </c>
      <c r="B1210" s="1" t="s">
        <v>2410</v>
      </c>
      <c r="C1210" s="1" t="s">
        <v>2750</v>
      </c>
      <c r="D1210" s="1" t="s">
        <v>2856</v>
      </c>
      <c r="E1210">
        <v>4650</v>
      </c>
      <c r="F1210">
        <v>0.68</v>
      </c>
      <c r="G1210">
        <v>4.0999999999999996</v>
      </c>
      <c r="H1210">
        <v>1045</v>
      </c>
    </row>
    <row r="1211" spans="1:8" x14ac:dyDescent="0.25">
      <c r="A1211" s="1" t="s">
        <v>2411</v>
      </c>
      <c r="B1211" s="1" t="s">
        <v>2412</v>
      </c>
      <c r="C1211" s="1" t="s">
        <v>2750</v>
      </c>
      <c r="D1211" s="1" t="s">
        <v>2876</v>
      </c>
      <c r="E1211">
        <v>24500</v>
      </c>
      <c r="F1211">
        <v>0.35</v>
      </c>
      <c r="G1211">
        <v>4</v>
      </c>
      <c r="H1211">
        <v>11206</v>
      </c>
    </row>
    <row r="1212" spans="1:8" x14ac:dyDescent="0.25">
      <c r="A1212" s="1" t="s">
        <v>2413</v>
      </c>
      <c r="B1212" s="1" t="s">
        <v>2414</v>
      </c>
      <c r="C1212" s="1" t="s">
        <v>2750</v>
      </c>
      <c r="D1212" s="1" t="s">
        <v>2845</v>
      </c>
      <c r="E1212">
        <v>6070</v>
      </c>
      <c r="F1212">
        <v>0.4</v>
      </c>
      <c r="G1212">
        <v>4.2</v>
      </c>
      <c r="H1212">
        <v>561</v>
      </c>
    </row>
    <row r="1213" spans="1:8" x14ac:dyDescent="0.25">
      <c r="A1213" s="1" t="s">
        <v>2415</v>
      </c>
      <c r="B1213" s="1" t="s">
        <v>2416</v>
      </c>
      <c r="C1213" s="1" t="s">
        <v>2750</v>
      </c>
      <c r="D1213" s="1" t="s">
        <v>2842</v>
      </c>
      <c r="E1213">
        <v>999</v>
      </c>
      <c r="F1213">
        <v>0.62</v>
      </c>
      <c r="G1213">
        <v>3.6</v>
      </c>
      <c r="H1213">
        <v>1988</v>
      </c>
    </row>
    <row r="1214" spans="1:8" x14ac:dyDescent="0.25">
      <c r="A1214" s="1" t="s">
        <v>2417</v>
      </c>
      <c r="B1214" s="1" t="s">
        <v>2418</v>
      </c>
      <c r="C1214" s="1" t="s">
        <v>2750</v>
      </c>
      <c r="D1214" s="1" t="s">
        <v>2871</v>
      </c>
      <c r="E1214">
        <v>3945</v>
      </c>
      <c r="F1214">
        <v>0.25</v>
      </c>
      <c r="G1214">
        <v>4.2</v>
      </c>
      <c r="H1214">
        <v>3740</v>
      </c>
    </row>
    <row r="1215" spans="1:8" x14ac:dyDescent="0.25">
      <c r="A1215" s="1" t="s">
        <v>2419</v>
      </c>
      <c r="B1215" s="1" t="s">
        <v>2420</v>
      </c>
      <c r="C1215" s="1" t="s">
        <v>2750</v>
      </c>
      <c r="D1215" s="1" t="s">
        <v>2889</v>
      </c>
      <c r="E1215">
        <v>1499</v>
      </c>
      <c r="F1215">
        <v>0.27</v>
      </c>
      <c r="G1215">
        <v>4.0999999999999996</v>
      </c>
      <c r="H1215">
        <v>4401</v>
      </c>
    </row>
    <row r="1216" spans="1:8" x14ac:dyDescent="0.25">
      <c r="A1216" s="1" t="s">
        <v>2421</v>
      </c>
      <c r="B1216" s="1" t="s">
        <v>2422</v>
      </c>
      <c r="C1216" s="1" t="s">
        <v>2750</v>
      </c>
      <c r="D1216" s="1" t="s">
        <v>2852</v>
      </c>
      <c r="E1216">
        <v>6700</v>
      </c>
      <c r="F1216">
        <v>0.62</v>
      </c>
      <c r="G1216">
        <v>4.2</v>
      </c>
      <c r="H1216">
        <v>611</v>
      </c>
    </row>
    <row r="1217" spans="1:8" x14ac:dyDescent="0.25">
      <c r="A1217" s="1" t="s">
        <v>2423</v>
      </c>
      <c r="B1217" s="1" t="s">
        <v>2424</v>
      </c>
      <c r="C1217" s="1" t="s">
        <v>2750</v>
      </c>
      <c r="D1217" s="1" t="s">
        <v>2844</v>
      </c>
      <c r="E1217">
        <v>2800</v>
      </c>
      <c r="F1217">
        <v>0.41</v>
      </c>
      <c r="G1217">
        <v>3.9</v>
      </c>
      <c r="H1217">
        <v>2162</v>
      </c>
    </row>
    <row r="1218" spans="1:8" x14ac:dyDescent="0.25">
      <c r="A1218" s="1" t="s">
        <v>2425</v>
      </c>
      <c r="B1218" s="1" t="s">
        <v>2426</v>
      </c>
      <c r="C1218" s="1" t="s">
        <v>2750</v>
      </c>
      <c r="D1218" s="1" t="s">
        <v>2842</v>
      </c>
      <c r="E1218">
        <v>1699</v>
      </c>
      <c r="F1218">
        <v>0.53</v>
      </c>
      <c r="G1218">
        <v>4</v>
      </c>
      <c r="H1218">
        <v>97</v>
      </c>
    </row>
    <row r="1219" spans="1:8" x14ac:dyDescent="0.25">
      <c r="A1219" s="1" t="s">
        <v>2427</v>
      </c>
      <c r="B1219" s="1" t="s">
        <v>2428</v>
      </c>
      <c r="C1219" s="1" t="s">
        <v>2750</v>
      </c>
      <c r="D1219" s="1" t="s">
        <v>2842</v>
      </c>
      <c r="E1219">
        <v>970</v>
      </c>
      <c r="F1219">
        <v>0.21</v>
      </c>
      <c r="G1219">
        <v>4.2</v>
      </c>
      <c r="H1219">
        <v>6055</v>
      </c>
    </row>
    <row r="1220" spans="1:8" x14ac:dyDescent="0.25">
      <c r="A1220" s="1" t="s">
        <v>2429</v>
      </c>
      <c r="B1220" s="1" t="s">
        <v>2430</v>
      </c>
      <c r="C1220" s="1" t="s">
        <v>2750</v>
      </c>
      <c r="D1220" s="1" t="s">
        <v>2838</v>
      </c>
      <c r="E1220">
        <v>1500</v>
      </c>
      <c r="F1220">
        <v>0.33</v>
      </c>
      <c r="G1220">
        <v>4.2</v>
      </c>
      <c r="H1220">
        <v>386</v>
      </c>
    </row>
    <row r="1221" spans="1:8" x14ac:dyDescent="0.25">
      <c r="A1221" s="1" t="s">
        <v>2431</v>
      </c>
      <c r="B1221" s="1" t="s">
        <v>2432</v>
      </c>
      <c r="C1221" s="1" t="s">
        <v>2750</v>
      </c>
      <c r="D1221" s="1" t="s">
        <v>2893</v>
      </c>
      <c r="E1221">
        <v>1295</v>
      </c>
      <c r="F1221">
        <v>0.55000000000000004</v>
      </c>
      <c r="G1221">
        <v>4.0999999999999996</v>
      </c>
      <c r="H1221">
        <v>557</v>
      </c>
    </row>
    <row r="1222" spans="1:8" x14ac:dyDescent="0.25">
      <c r="A1222" s="1" t="s">
        <v>2433</v>
      </c>
      <c r="B1222" s="1" t="s">
        <v>2434</v>
      </c>
      <c r="C1222" s="1" t="s">
        <v>2750</v>
      </c>
      <c r="D1222" s="1" t="s">
        <v>2894</v>
      </c>
      <c r="E1222">
        <v>23999</v>
      </c>
      <c r="F1222">
        <v>0.47</v>
      </c>
      <c r="G1222">
        <v>4.4000000000000004</v>
      </c>
      <c r="H1222">
        <v>2288</v>
      </c>
    </row>
    <row r="1223" spans="1:8" x14ac:dyDescent="0.25">
      <c r="A1223" s="1" t="s">
        <v>2435</v>
      </c>
      <c r="B1223" s="1" t="s">
        <v>2436</v>
      </c>
      <c r="C1223" s="1" t="s">
        <v>2750</v>
      </c>
      <c r="D1223" s="1" t="s">
        <v>2843</v>
      </c>
      <c r="E1223">
        <v>850</v>
      </c>
      <c r="F1223">
        <v>0.18</v>
      </c>
      <c r="G1223">
        <v>4.0999999999999996</v>
      </c>
      <c r="H1223">
        <v>1106</v>
      </c>
    </row>
    <row r="1224" spans="1:8" x14ac:dyDescent="0.25">
      <c r="A1224" s="1" t="s">
        <v>2437</v>
      </c>
      <c r="B1224" s="1" t="s">
        <v>2438</v>
      </c>
      <c r="C1224" s="1" t="s">
        <v>2750</v>
      </c>
      <c r="D1224" s="1" t="s">
        <v>2861</v>
      </c>
      <c r="E1224">
        <v>6000</v>
      </c>
      <c r="F1224">
        <v>0.37</v>
      </c>
      <c r="G1224">
        <v>4.2</v>
      </c>
      <c r="H1224">
        <v>11935</v>
      </c>
    </row>
    <row r="1225" spans="1:8" x14ac:dyDescent="0.25">
      <c r="A1225" s="1" t="s">
        <v>2439</v>
      </c>
      <c r="B1225" s="1" t="s">
        <v>2440</v>
      </c>
      <c r="C1225" s="1" t="s">
        <v>2750</v>
      </c>
      <c r="D1225" s="1" t="s">
        <v>2849</v>
      </c>
      <c r="E1225">
        <v>1020</v>
      </c>
      <c r="F1225">
        <v>0.37</v>
      </c>
      <c r="G1225">
        <v>4.0999999999999996</v>
      </c>
      <c r="H1225">
        <v>5059</v>
      </c>
    </row>
    <row r="1226" spans="1:8" x14ac:dyDescent="0.25">
      <c r="A1226" s="1" t="s">
        <v>2441</v>
      </c>
      <c r="B1226" s="1" t="s">
        <v>2442</v>
      </c>
      <c r="C1226" s="1" t="s">
        <v>2750</v>
      </c>
      <c r="D1226" s="1" t="s">
        <v>2837</v>
      </c>
      <c r="E1226">
        <v>1999</v>
      </c>
      <c r="F1226">
        <v>0.51</v>
      </c>
      <c r="G1226">
        <v>3.9</v>
      </c>
      <c r="H1226">
        <v>157</v>
      </c>
    </row>
    <row r="1227" spans="1:8" x14ac:dyDescent="0.25">
      <c r="A1227" s="1" t="s">
        <v>2443</v>
      </c>
      <c r="B1227" s="1" t="s">
        <v>2444</v>
      </c>
      <c r="C1227" s="1" t="s">
        <v>2750</v>
      </c>
      <c r="D1227" s="1" t="s">
        <v>2845</v>
      </c>
      <c r="E1227">
        <v>7445</v>
      </c>
      <c r="F1227">
        <v>0.28000000000000003</v>
      </c>
      <c r="G1227">
        <v>3.9</v>
      </c>
      <c r="H1227">
        <v>3584</v>
      </c>
    </row>
    <row r="1228" spans="1:8" x14ac:dyDescent="0.25">
      <c r="A1228" s="1" t="s">
        <v>2445</v>
      </c>
      <c r="B1228" s="1" t="s">
        <v>2446</v>
      </c>
      <c r="C1228" s="1" t="s">
        <v>2750</v>
      </c>
      <c r="D1228" s="1" t="s">
        <v>2852</v>
      </c>
      <c r="E1228">
        <v>3500</v>
      </c>
      <c r="F1228">
        <v>0.09</v>
      </c>
      <c r="G1228">
        <v>4.2</v>
      </c>
      <c r="H1228">
        <v>1899</v>
      </c>
    </row>
    <row r="1229" spans="1:8" x14ac:dyDescent="0.25">
      <c r="A1229" s="1" t="s">
        <v>2447</v>
      </c>
      <c r="B1229" s="1" t="s">
        <v>2448</v>
      </c>
      <c r="C1229" s="1" t="s">
        <v>2750</v>
      </c>
      <c r="D1229" s="1" t="s">
        <v>2880</v>
      </c>
      <c r="E1229">
        <v>1395</v>
      </c>
      <c r="F1229">
        <v>0.3</v>
      </c>
      <c r="G1229">
        <v>4.2</v>
      </c>
      <c r="H1229">
        <v>15252</v>
      </c>
    </row>
    <row r="1230" spans="1:8" x14ac:dyDescent="0.25">
      <c r="A1230" s="1" t="s">
        <v>2449</v>
      </c>
      <c r="B1230" s="1" t="s">
        <v>2450</v>
      </c>
      <c r="C1230" s="1" t="s">
        <v>2750</v>
      </c>
      <c r="D1230" s="1" t="s">
        <v>2836</v>
      </c>
      <c r="E1230">
        <v>2199</v>
      </c>
      <c r="F1230">
        <v>0.57999999999999996</v>
      </c>
      <c r="G1230">
        <v>3.7</v>
      </c>
      <c r="H1230">
        <v>4</v>
      </c>
    </row>
    <row r="1231" spans="1:8" x14ac:dyDescent="0.25">
      <c r="A1231" s="1" t="s">
        <v>2451</v>
      </c>
      <c r="B1231" s="1" t="s">
        <v>2452</v>
      </c>
      <c r="C1231" s="1" t="s">
        <v>2750</v>
      </c>
      <c r="D1231" s="1" t="s">
        <v>2881</v>
      </c>
      <c r="E1231">
        <v>4330</v>
      </c>
      <c r="F1231">
        <v>0.14000000000000001</v>
      </c>
      <c r="G1231">
        <v>3.7</v>
      </c>
      <c r="H1231">
        <v>1662</v>
      </c>
    </row>
    <row r="1232" spans="1:8" x14ac:dyDescent="0.25">
      <c r="A1232" s="1" t="s">
        <v>2453</v>
      </c>
      <c r="B1232" s="1" t="s">
        <v>2454</v>
      </c>
      <c r="C1232" s="1" t="s">
        <v>2750</v>
      </c>
      <c r="D1232" s="1" t="s">
        <v>2844</v>
      </c>
      <c r="E1232">
        <v>4295</v>
      </c>
      <c r="F1232">
        <v>0.53</v>
      </c>
      <c r="G1232">
        <v>3.4</v>
      </c>
      <c r="H1232">
        <v>422</v>
      </c>
    </row>
    <row r="1233" spans="1:8" x14ac:dyDescent="0.25">
      <c r="A1233" s="1" t="s">
        <v>2455</v>
      </c>
      <c r="B1233" s="1" t="s">
        <v>2456</v>
      </c>
      <c r="C1233" s="1" t="s">
        <v>2750</v>
      </c>
      <c r="D1233" s="1" t="s">
        <v>2836</v>
      </c>
      <c r="E1233">
        <v>18990</v>
      </c>
      <c r="F1233">
        <v>0.5</v>
      </c>
      <c r="G1233">
        <v>4.2</v>
      </c>
      <c r="H1233">
        <v>79</v>
      </c>
    </row>
    <row r="1234" spans="1:8" x14ac:dyDescent="0.25">
      <c r="A1234" s="1" t="s">
        <v>2457</v>
      </c>
      <c r="B1234" s="1" t="s">
        <v>2458</v>
      </c>
      <c r="C1234" s="1" t="s">
        <v>2750</v>
      </c>
      <c r="D1234" s="1" t="s">
        <v>2848</v>
      </c>
      <c r="E1234">
        <v>12500</v>
      </c>
      <c r="F1234">
        <v>0.38</v>
      </c>
      <c r="G1234">
        <v>4</v>
      </c>
      <c r="H1234">
        <v>5160</v>
      </c>
    </row>
    <row r="1235" spans="1:8" x14ac:dyDescent="0.25">
      <c r="A1235" s="1" t="s">
        <v>2459</v>
      </c>
      <c r="B1235" s="1" t="s">
        <v>2460</v>
      </c>
      <c r="C1235" s="1" t="s">
        <v>2750</v>
      </c>
      <c r="D1235" s="1" t="s">
        <v>2835</v>
      </c>
      <c r="E1235">
        <v>2385</v>
      </c>
      <c r="F1235">
        <v>0.6</v>
      </c>
      <c r="G1235">
        <v>4.0999999999999996</v>
      </c>
      <c r="H1235">
        <v>2311</v>
      </c>
    </row>
    <row r="1236" spans="1:8" x14ac:dyDescent="0.25">
      <c r="A1236" s="1" t="s">
        <v>2461</v>
      </c>
      <c r="B1236" s="1" t="s">
        <v>2462</v>
      </c>
      <c r="C1236" s="1" t="s">
        <v>2750</v>
      </c>
      <c r="D1236" s="1" t="s">
        <v>2845</v>
      </c>
      <c r="E1236">
        <v>4890</v>
      </c>
      <c r="F1236">
        <v>0.43</v>
      </c>
      <c r="G1236">
        <v>3.9</v>
      </c>
      <c r="H1236">
        <v>588</v>
      </c>
    </row>
    <row r="1237" spans="1:8" x14ac:dyDescent="0.25">
      <c r="A1237" s="1" t="s">
        <v>2463</v>
      </c>
      <c r="B1237" s="1" t="s">
        <v>2464</v>
      </c>
      <c r="C1237" s="1" t="s">
        <v>2750</v>
      </c>
      <c r="D1237" s="1" t="s">
        <v>2843</v>
      </c>
      <c r="E1237">
        <v>1100</v>
      </c>
      <c r="F1237">
        <v>0.41</v>
      </c>
      <c r="G1237">
        <v>4</v>
      </c>
      <c r="H1237">
        <v>3271</v>
      </c>
    </row>
    <row r="1238" spans="1:8" x14ac:dyDescent="0.25">
      <c r="A1238" s="1" t="s">
        <v>2465</v>
      </c>
      <c r="B1238" s="1" t="s">
        <v>2466</v>
      </c>
      <c r="C1238" s="1" t="s">
        <v>2750</v>
      </c>
      <c r="D1238" s="1" t="s">
        <v>2844</v>
      </c>
      <c r="E1238">
        <v>3899</v>
      </c>
      <c r="F1238">
        <v>0.43</v>
      </c>
      <c r="G1238">
        <v>3.9</v>
      </c>
      <c r="H1238">
        <v>11004</v>
      </c>
    </row>
    <row r="1239" spans="1:8" x14ac:dyDescent="0.25">
      <c r="A1239" s="1" t="s">
        <v>2467</v>
      </c>
      <c r="B1239" s="1" t="s">
        <v>2468</v>
      </c>
      <c r="C1239" s="1" t="s">
        <v>2750</v>
      </c>
      <c r="D1239" s="1" t="s">
        <v>2848</v>
      </c>
      <c r="E1239">
        <v>16899</v>
      </c>
      <c r="F1239">
        <v>0.49</v>
      </c>
      <c r="G1239">
        <v>4.2</v>
      </c>
      <c r="H1239">
        <v>3195</v>
      </c>
    </row>
    <row r="1240" spans="1:8" x14ac:dyDescent="0.25">
      <c r="A1240" s="1" t="s">
        <v>2469</v>
      </c>
      <c r="B1240" s="1" t="s">
        <v>2470</v>
      </c>
      <c r="C1240" s="1" t="s">
        <v>2750</v>
      </c>
      <c r="D1240" s="1" t="s">
        <v>2895</v>
      </c>
      <c r="E1240">
        <v>75990</v>
      </c>
      <c r="F1240">
        <v>0.43</v>
      </c>
      <c r="G1240">
        <v>4.3</v>
      </c>
      <c r="H1240">
        <v>3231</v>
      </c>
    </row>
    <row r="1241" spans="1:8" x14ac:dyDescent="0.25">
      <c r="A1241" s="1" t="s">
        <v>2471</v>
      </c>
      <c r="B1241" s="1" t="s">
        <v>2472</v>
      </c>
      <c r="C1241" s="1" t="s">
        <v>2750</v>
      </c>
      <c r="D1241" s="1" t="s">
        <v>2869</v>
      </c>
      <c r="E1241">
        <v>825</v>
      </c>
      <c r="F1241">
        <v>0</v>
      </c>
      <c r="G1241">
        <v>4</v>
      </c>
      <c r="H1241">
        <v>3246</v>
      </c>
    </row>
    <row r="1242" spans="1:8" x14ac:dyDescent="0.25">
      <c r="A1242" s="1" t="s">
        <v>2473</v>
      </c>
      <c r="B1242" s="1" t="s">
        <v>2474</v>
      </c>
      <c r="C1242" s="1" t="s">
        <v>2750</v>
      </c>
      <c r="D1242" s="1" t="s">
        <v>2859</v>
      </c>
      <c r="E1242">
        <v>300</v>
      </c>
      <c r="F1242">
        <v>0.46</v>
      </c>
      <c r="G1242">
        <v>2.6</v>
      </c>
      <c r="H1242">
        <v>24</v>
      </c>
    </row>
    <row r="1243" spans="1:8" x14ac:dyDescent="0.25">
      <c r="A1243" s="1" t="s">
        <v>2475</v>
      </c>
      <c r="B1243" s="1" t="s">
        <v>2476</v>
      </c>
      <c r="C1243" s="1" t="s">
        <v>2750</v>
      </c>
      <c r="D1243" s="1" t="s">
        <v>2841</v>
      </c>
      <c r="E1243">
        <v>1499</v>
      </c>
      <c r="F1243">
        <v>0.54</v>
      </c>
      <c r="G1243">
        <v>3.8</v>
      </c>
      <c r="H1243">
        <v>144</v>
      </c>
    </row>
    <row r="1244" spans="1:8" x14ac:dyDescent="0.25">
      <c r="A1244" s="1" t="s">
        <v>2477</v>
      </c>
      <c r="B1244" s="1" t="s">
        <v>2478</v>
      </c>
      <c r="C1244" s="1" t="s">
        <v>2750</v>
      </c>
      <c r="D1244" s="1" t="s">
        <v>2896</v>
      </c>
      <c r="E1244">
        <v>747</v>
      </c>
      <c r="F1244">
        <v>0.08</v>
      </c>
      <c r="G1244">
        <v>4.5</v>
      </c>
      <c r="H1244">
        <v>2280</v>
      </c>
    </row>
    <row r="1245" spans="1:8" x14ac:dyDescent="0.25">
      <c r="A1245" s="1" t="s">
        <v>2479</v>
      </c>
      <c r="B1245" s="1" t="s">
        <v>2480</v>
      </c>
      <c r="C1245" s="1" t="s">
        <v>2750</v>
      </c>
      <c r="D1245" s="1" t="s">
        <v>2863</v>
      </c>
      <c r="E1245">
        <v>3999</v>
      </c>
      <c r="F1245">
        <v>0.45</v>
      </c>
      <c r="G1245">
        <v>3.5</v>
      </c>
      <c r="H1245">
        <v>340</v>
      </c>
    </row>
    <row r="1246" spans="1:8" x14ac:dyDescent="0.25">
      <c r="A1246" s="1" t="s">
        <v>2481</v>
      </c>
      <c r="B1246" s="1" t="s">
        <v>2482</v>
      </c>
      <c r="C1246" s="1" t="s">
        <v>2750</v>
      </c>
      <c r="D1246" s="1" t="s">
        <v>2837</v>
      </c>
      <c r="E1246">
        <v>11990</v>
      </c>
      <c r="F1246">
        <v>0.43</v>
      </c>
      <c r="G1246">
        <v>3.9</v>
      </c>
      <c r="H1246">
        <v>144</v>
      </c>
    </row>
    <row r="1247" spans="1:8" x14ac:dyDescent="0.25">
      <c r="A1247" s="1" t="s">
        <v>2483</v>
      </c>
      <c r="B1247" s="1" t="s">
        <v>2484</v>
      </c>
      <c r="C1247" s="1" t="s">
        <v>2750</v>
      </c>
      <c r="D1247" s="1" t="s">
        <v>2845</v>
      </c>
      <c r="E1247">
        <v>3799</v>
      </c>
      <c r="F1247">
        <v>0.28999999999999998</v>
      </c>
      <c r="G1247">
        <v>4</v>
      </c>
      <c r="H1247">
        <v>727</v>
      </c>
    </row>
    <row r="1248" spans="1:8" x14ac:dyDescent="0.25">
      <c r="A1248" s="1" t="s">
        <v>2485</v>
      </c>
      <c r="B1248" s="1" t="s">
        <v>2486</v>
      </c>
      <c r="C1248" s="1" t="s">
        <v>2750</v>
      </c>
      <c r="D1248" s="1" t="s">
        <v>2897</v>
      </c>
      <c r="E1248">
        <v>1999</v>
      </c>
      <c r="F1248">
        <v>0.55000000000000004</v>
      </c>
      <c r="G1248">
        <v>4</v>
      </c>
      <c r="H1248">
        <v>832</v>
      </c>
    </row>
    <row r="1249" spans="1:8" x14ac:dyDescent="0.25">
      <c r="A1249" s="1" t="s">
        <v>2487</v>
      </c>
      <c r="B1249" s="1" t="s">
        <v>2488</v>
      </c>
      <c r="C1249" s="1" t="s">
        <v>2750</v>
      </c>
      <c r="D1249" s="1" t="s">
        <v>2837</v>
      </c>
      <c r="E1249">
        <v>2999</v>
      </c>
      <c r="F1249">
        <v>0.64</v>
      </c>
      <c r="G1249">
        <v>3.5</v>
      </c>
      <c r="H1249">
        <v>57</v>
      </c>
    </row>
    <row r="1250" spans="1:8" x14ac:dyDescent="0.25">
      <c r="A1250" s="1" t="s">
        <v>2489</v>
      </c>
      <c r="B1250" s="1" t="s">
        <v>2490</v>
      </c>
      <c r="C1250" s="1" t="s">
        <v>2750</v>
      </c>
      <c r="D1250" s="1" t="s">
        <v>2839</v>
      </c>
      <c r="E1250">
        <v>599</v>
      </c>
      <c r="F1250">
        <v>0.51</v>
      </c>
      <c r="G1250">
        <v>4</v>
      </c>
      <c r="H1250">
        <v>1644</v>
      </c>
    </row>
    <row r="1251" spans="1:8" x14ac:dyDescent="0.25">
      <c r="A1251" s="1" t="s">
        <v>2491</v>
      </c>
      <c r="B1251" s="1" t="s">
        <v>2492</v>
      </c>
      <c r="C1251" s="1" t="s">
        <v>2750</v>
      </c>
      <c r="D1251" s="1" t="s">
        <v>2847</v>
      </c>
      <c r="E1251">
        <v>1999</v>
      </c>
      <c r="F1251">
        <v>0.76</v>
      </c>
      <c r="G1251">
        <v>3.4</v>
      </c>
      <c r="H1251">
        <v>1066</v>
      </c>
    </row>
    <row r="1252" spans="1:8" x14ac:dyDescent="0.25">
      <c r="A1252" s="1" t="s">
        <v>2493</v>
      </c>
      <c r="B1252" s="1" t="s">
        <v>2494</v>
      </c>
      <c r="C1252" s="1" t="s">
        <v>2750</v>
      </c>
      <c r="D1252" s="1" t="s">
        <v>2845</v>
      </c>
      <c r="E1252">
        <v>4849</v>
      </c>
      <c r="F1252">
        <v>0.39</v>
      </c>
      <c r="G1252">
        <v>4.2</v>
      </c>
      <c r="H1252">
        <v>7968</v>
      </c>
    </row>
    <row r="1253" spans="1:8" x14ac:dyDescent="0.25">
      <c r="A1253" s="1" t="s">
        <v>2495</v>
      </c>
      <c r="B1253" s="1" t="s">
        <v>2496</v>
      </c>
      <c r="C1253" s="1" t="s">
        <v>2750</v>
      </c>
      <c r="D1253" s="1" t="s">
        <v>2849</v>
      </c>
      <c r="E1253">
        <v>510</v>
      </c>
      <c r="F1253">
        <v>0.34</v>
      </c>
      <c r="G1253">
        <v>3.8</v>
      </c>
      <c r="H1253">
        <v>3195</v>
      </c>
    </row>
    <row r="1254" spans="1:8" x14ac:dyDescent="0.25">
      <c r="A1254" s="1" t="s">
        <v>2497</v>
      </c>
      <c r="B1254" s="1" t="s">
        <v>2498</v>
      </c>
      <c r="C1254" s="1" t="s">
        <v>2750</v>
      </c>
      <c r="D1254" s="1" t="s">
        <v>2868</v>
      </c>
      <c r="E1254">
        <v>499</v>
      </c>
      <c r="F1254">
        <v>0.41</v>
      </c>
      <c r="G1254">
        <v>4.0999999999999996</v>
      </c>
      <c r="H1254">
        <v>1456</v>
      </c>
    </row>
    <row r="1255" spans="1:8" x14ac:dyDescent="0.25">
      <c r="A1255" s="1" t="s">
        <v>2499</v>
      </c>
      <c r="B1255" s="1" t="s">
        <v>2500</v>
      </c>
      <c r="C1255" s="1" t="s">
        <v>2750</v>
      </c>
      <c r="D1255" s="1" t="s">
        <v>2898</v>
      </c>
      <c r="E1255">
        <v>1299</v>
      </c>
      <c r="F1255">
        <v>0.54</v>
      </c>
      <c r="G1255">
        <v>4.2</v>
      </c>
      <c r="H1255">
        <v>590</v>
      </c>
    </row>
    <row r="1256" spans="1:8" x14ac:dyDescent="0.25">
      <c r="A1256" s="1" t="s">
        <v>2501</v>
      </c>
      <c r="B1256" s="1" t="s">
        <v>2502</v>
      </c>
      <c r="C1256" s="1" t="s">
        <v>2750</v>
      </c>
      <c r="D1256" s="1" t="s">
        <v>2869</v>
      </c>
      <c r="E1256">
        <v>999</v>
      </c>
      <c r="F1256">
        <v>0.5</v>
      </c>
      <c r="G1256">
        <v>4.3</v>
      </c>
      <c r="H1256">
        <v>1436</v>
      </c>
    </row>
    <row r="1257" spans="1:8" x14ac:dyDescent="0.25">
      <c r="A1257" s="1" t="s">
        <v>2503</v>
      </c>
      <c r="B1257" s="1" t="s">
        <v>2504</v>
      </c>
      <c r="C1257" s="1" t="s">
        <v>2750</v>
      </c>
      <c r="D1257" s="1" t="s">
        <v>2843</v>
      </c>
      <c r="E1257">
        <v>1190</v>
      </c>
      <c r="F1257">
        <v>0.28999999999999998</v>
      </c>
      <c r="G1257">
        <v>4.2</v>
      </c>
      <c r="H1257">
        <v>4184</v>
      </c>
    </row>
    <row r="1258" spans="1:8" x14ac:dyDescent="0.25">
      <c r="A1258" s="1" t="s">
        <v>2505</v>
      </c>
      <c r="B1258" s="1" t="s">
        <v>2506</v>
      </c>
      <c r="C1258" s="1" t="s">
        <v>2750</v>
      </c>
      <c r="D1258" s="1" t="s">
        <v>2868</v>
      </c>
      <c r="E1258">
        <v>400</v>
      </c>
      <c r="F1258">
        <v>0.38</v>
      </c>
      <c r="G1258">
        <v>4.0999999999999996</v>
      </c>
      <c r="H1258">
        <v>693</v>
      </c>
    </row>
    <row r="1259" spans="1:8" x14ac:dyDescent="0.25">
      <c r="A1259" s="1" t="s">
        <v>2507</v>
      </c>
      <c r="B1259" s="1" t="s">
        <v>2508</v>
      </c>
      <c r="C1259" s="1" t="s">
        <v>2750</v>
      </c>
      <c r="D1259" s="1" t="s">
        <v>2869</v>
      </c>
      <c r="E1259">
        <v>599</v>
      </c>
      <c r="F1259">
        <v>0.69</v>
      </c>
      <c r="G1259">
        <v>3.9</v>
      </c>
      <c r="H1259">
        <v>1306</v>
      </c>
    </row>
    <row r="1260" spans="1:8" x14ac:dyDescent="0.25">
      <c r="A1260" s="1" t="s">
        <v>2509</v>
      </c>
      <c r="B1260" s="1" t="s">
        <v>2510</v>
      </c>
      <c r="C1260" s="1" t="s">
        <v>2750</v>
      </c>
      <c r="D1260" s="1" t="s">
        <v>2837</v>
      </c>
      <c r="E1260">
        <v>999</v>
      </c>
      <c r="F1260">
        <v>0.22</v>
      </c>
      <c r="G1260">
        <v>3.3</v>
      </c>
      <c r="H1260">
        <v>8</v>
      </c>
    </row>
    <row r="1261" spans="1:8" x14ac:dyDescent="0.25">
      <c r="A1261" s="1" t="s">
        <v>2511</v>
      </c>
      <c r="B1261" s="1" t="s">
        <v>2512</v>
      </c>
      <c r="C1261" s="1" t="s">
        <v>2750</v>
      </c>
      <c r="D1261" s="1" t="s">
        <v>2899</v>
      </c>
      <c r="E1261">
        <v>699</v>
      </c>
      <c r="F1261">
        <v>0.6</v>
      </c>
      <c r="G1261">
        <v>4.3</v>
      </c>
      <c r="H1261">
        <v>2326</v>
      </c>
    </row>
    <row r="1262" spans="1:8" x14ac:dyDescent="0.25">
      <c r="A1262" s="1" t="s">
        <v>2513</v>
      </c>
      <c r="B1262" s="1" t="s">
        <v>2514</v>
      </c>
      <c r="C1262" s="1" t="s">
        <v>2750</v>
      </c>
      <c r="D1262" s="1" t="s">
        <v>2869</v>
      </c>
      <c r="E1262">
        <v>1499</v>
      </c>
      <c r="F1262">
        <v>0.86</v>
      </c>
      <c r="G1262">
        <v>3.9</v>
      </c>
      <c r="H1262">
        <v>1004</v>
      </c>
    </row>
    <row r="1263" spans="1:8" x14ac:dyDescent="0.25">
      <c r="A1263" s="1" t="s">
        <v>2515</v>
      </c>
      <c r="B1263" s="1" t="s">
        <v>2516</v>
      </c>
      <c r="C1263" s="1" t="s">
        <v>2750</v>
      </c>
      <c r="D1263" s="1" t="s">
        <v>2843</v>
      </c>
      <c r="E1263">
        <v>1295</v>
      </c>
      <c r="F1263">
        <v>0.31</v>
      </c>
      <c r="G1263">
        <v>4.3</v>
      </c>
      <c r="H1263">
        <v>6400</v>
      </c>
    </row>
    <row r="1264" spans="1:8" x14ac:dyDescent="0.25">
      <c r="A1264" s="1" t="s">
        <v>2517</v>
      </c>
      <c r="B1264" s="1" t="s">
        <v>2518</v>
      </c>
      <c r="C1264" s="1" t="s">
        <v>2750</v>
      </c>
      <c r="D1264" s="1" t="s">
        <v>2845</v>
      </c>
      <c r="E1264">
        <v>4999</v>
      </c>
      <c r="F1264">
        <v>0.71</v>
      </c>
      <c r="G1264">
        <v>3.6</v>
      </c>
      <c r="H1264">
        <v>63</v>
      </c>
    </row>
    <row r="1265" spans="1:8" x14ac:dyDescent="0.25">
      <c r="A1265" s="1" t="s">
        <v>2519</v>
      </c>
      <c r="B1265" s="1" t="s">
        <v>2520</v>
      </c>
      <c r="C1265" s="1" t="s">
        <v>2750</v>
      </c>
      <c r="D1265" s="1" t="s">
        <v>2845</v>
      </c>
      <c r="E1265">
        <v>2550</v>
      </c>
      <c r="F1265">
        <v>0.53</v>
      </c>
      <c r="G1265">
        <v>3.8</v>
      </c>
      <c r="H1265">
        <v>1181</v>
      </c>
    </row>
    <row r="1266" spans="1:8" x14ac:dyDescent="0.25">
      <c r="A1266" s="1" t="s">
        <v>2521</v>
      </c>
      <c r="B1266" s="1" t="s">
        <v>2522</v>
      </c>
      <c r="C1266" s="1" t="s">
        <v>2750</v>
      </c>
      <c r="D1266" s="1" t="s">
        <v>2876</v>
      </c>
      <c r="E1266">
        <v>1950</v>
      </c>
      <c r="F1266">
        <v>0.08</v>
      </c>
      <c r="G1266">
        <v>3.9</v>
      </c>
      <c r="H1266">
        <v>1888</v>
      </c>
    </row>
    <row r="1267" spans="1:8" x14ac:dyDescent="0.25">
      <c r="A1267" s="1" t="s">
        <v>2523</v>
      </c>
      <c r="B1267" s="1" t="s">
        <v>2524</v>
      </c>
      <c r="C1267" s="1" t="s">
        <v>2750</v>
      </c>
      <c r="D1267" s="1" t="s">
        <v>2844</v>
      </c>
      <c r="E1267">
        <v>8478</v>
      </c>
      <c r="F1267">
        <v>0.28000000000000003</v>
      </c>
      <c r="G1267">
        <v>4.5999999999999996</v>
      </c>
      <c r="H1267">
        <v>6550</v>
      </c>
    </row>
    <row r="1268" spans="1:8" x14ac:dyDescent="0.25">
      <c r="A1268" s="1" t="s">
        <v>2525</v>
      </c>
      <c r="B1268" s="1" t="s">
        <v>2526</v>
      </c>
      <c r="C1268" s="1" t="s">
        <v>2750</v>
      </c>
      <c r="D1268" s="1" t="s">
        <v>2844</v>
      </c>
      <c r="E1268">
        <v>3299</v>
      </c>
      <c r="F1268">
        <v>0.45</v>
      </c>
      <c r="G1268">
        <v>3.8</v>
      </c>
      <c r="H1268">
        <v>1846</v>
      </c>
    </row>
    <row r="1269" spans="1:8" x14ac:dyDescent="0.25">
      <c r="A1269" s="1" t="s">
        <v>2527</v>
      </c>
      <c r="B1269" s="1" t="s">
        <v>2528</v>
      </c>
      <c r="C1269" s="1" t="s">
        <v>2750</v>
      </c>
      <c r="D1269" s="1" t="s">
        <v>2844</v>
      </c>
      <c r="E1269">
        <v>3895</v>
      </c>
      <c r="F1269">
        <v>0.44</v>
      </c>
      <c r="G1269">
        <v>3.9</v>
      </c>
      <c r="H1269">
        <v>1085</v>
      </c>
    </row>
    <row r="1270" spans="1:8" x14ac:dyDescent="0.25">
      <c r="A1270" s="1" t="s">
        <v>2529</v>
      </c>
      <c r="B1270" s="1" t="s">
        <v>2530</v>
      </c>
      <c r="C1270" s="1" t="s">
        <v>2750</v>
      </c>
      <c r="D1270" s="1" t="s">
        <v>2871</v>
      </c>
      <c r="E1270">
        <v>5495</v>
      </c>
      <c r="F1270">
        <v>0.33</v>
      </c>
      <c r="G1270">
        <v>4.0999999999999996</v>
      </c>
      <c r="H1270">
        <v>290</v>
      </c>
    </row>
    <row r="1271" spans="1:8" x14ac:dyDescent="0.25">
      <c r="A1271" s="1" t="s">
        <v>2531</v>
      </c>
      <c r="B1271" s="1" t="s">
        <v>2532</v>
      </c>
      <c r="C1271" s="1" t="s">
        <v>2750</v>
      </c>
      <c r="D1271" s="1" t="s">
        <v>2853</v>
      </c>
      <c r="E1271">
        <v>999</v>
      </c>
      <c r="F1271">
        <v>0.35</v>
      </c>
      <c r="G1271">
        <v>3.6</v>
      </c>
      <c r="H1271">
        <v>4</v>
      </c>
    </row>
    <row r="1272" spans="1:8" x14ac:dyDescent="0.25">
      <c r="A1272" s="1" t="s">
        <v>2533</v>
      </c>
      <c r="B1272" s="1" t="s">
        <v>2534</v>
      </c>
      <c r="C1272" s="1" t="s">
        <v>2750</v>
      </c>
      <c r="D1272" s="1" t="s">
        <v>2882</v>
      </c>
      <c r="E1272">
        <v>8995</v>
      </c>
      <c r="F1272">
        <v>0.04</v>
      </c>
      <c r="G1272">
        <v>4.4000000000000004</v>
      </c>
      <c r="H1272">
        <v>9734</v>
      </c>
    </row>
    <row r="1273" spans="1:8" x14ac:dyDescent="0.25">
      <c r="A1273" s="1" t="s">
        <v>2535</v>
      </c>
      <c r="B1273" s="1" t="s">
        <v>2536</v>
      </c>
      <c r="C1273" s="1" t="s">
        <v>2750</v>
      </c>
      <c r="D1273" s="1" t="s">
        <v>2843</v>
      </c>
      <c r="E1273">
        <v>1599</v>
      </c>
      <c r="F1273">
        <v>0.31</v>
      </c>
      <c r="G1273">
        <v>4.3</v>
      </c>
      <c r="H1273">
        <v>4022</v>
      </c>
    </row>
    <row r="1274" spans="1:8" x14ac:dyDescent="0.25">
      <c r="A1274" s="1" t="s">
        <v>2537</v>
      </c>
      <c r="B1274" s="1" t="s">
        <v>2538</v>
      </c>
      <c r="C1274" s="1" t="s">
        <v>2750</v>
      </c>
      <c r="D1274" s="1" t="s">
        <v>2845</v>
      </c>
      <c r="E1274">
        <v>3500</v>
      </c>
      <c r="F1274">
        <v>0.56999999999999995</v>
      </c>
      <c r="G1274">
        <v>4.7</v>
      </c>
      <c r="H1274">
        <v>2591</v>
      </c>
    </row>
    <row r="1275" spans="1:8" x14ac:dyDescent="0.25">
      <c r="A1275" s="1" t="s">
        <v>2539</v>
      </c>
      <c r="B1275" s="1" t="s">
        <v>2540</v>
      </c>
      <c r="C1275" s="1" t="s">
        <v>2750</v>
      </c>
      <c r="D1275" s="1" t="s">
        <v>2839</v>
      </c>
      <c r="E1275">
        <v>1999</v>
      </c>
      <c r="F1275">
        <v>0.62</v>
      </c>
      <c r="G1275">
        <v>4.3</v>
      </c>
      <c r="H1275">
        <v>532</v>
      </c>
    </row>
    <row r="1276" spans="1:8" x14ac:dyDescent="0.25">
      <c r="A1276" s="1" t="s">
        <v>2541</v>
      </c>
      <c r="B1276" s="1" t="s">
        <v>2542</v>
      </c>
      <c r="C1276" s="1" t="s">
        <v>2750</v>
      </c>
      <c r="D1276" s="1" t="s">
        <v>2854</v>
      </c>
      <c r="E1276">
        <v>3199</v>
      </c>
      <c r="F1276">
        <v>0.17</v>
      </c>
      <c r="G1276">
        <v>3.9</v>
      </c>
      <c r="H1276">
        <v>260</v>
      </c>
    </row>
    <row r="1277" spans="1:8" x14ac:dyDescent="0.25">
      <c r="A1277" s="1" t="s">
        <v>2543</v>
      </c>
      <c r="B1277" s="1" t="s">
        <v>2544</v>
      </c>
      <c r="C1277" s="1" t="s">
        <v>2750</v>
      </c>
      <c r="D1277" s="1" t="s">
        <v>2856</v>
      </c>
      <c r="E1277">
        <v>1300</v>
      </c>
      <c r="F1277">
        <v>0.28999999999999998</v>
      </c>
      <c r="G1277">
        <v>3.9</v>
      </c>
      <c r="H1277">
        <v>1672</v>
      </c>
    </row>
    <row r="1278" spans="1:8" x14ac:dyDescent="0.25">
      <c r="A1278" s="1" t="s">
        <v>2545</v>
      </c>
      <c r="B1278" s="1" t="s">
        <v>2546</v>
      </c>
      <c r="C1278" s="1" t="s">
        <v>2750</v>
      </c>
      <c r="D1278" s="1" t="s">
        <v>2851</v>
      </c>
      <c r="E1278">
        <v>399</v>
      </c>
      <c r="F1278">
        <v>0.5</v>
      </c>
      <c r="G1278">
        <v>3.7</v>
      </c>
      <c r="H1278">
        <v>7945</v>
      </c>
    </row>
    <row r="1279" spans="1:8" x14ac:dyDescent="0.25">
      <c r="A1279" s="1" t="s">
        <v>2547</v>
      </c>
      <c r="B1279" s="1" t="s">
        <v>2548</v>
      </c>
      <c r="C1279" s="1" t="s">
        <v>2750</v>
      </c>
      <c r="D1279" s="1" t="s">
        <v>2838</v>
      </c>
      <c r="E1279">
        <v>599</v>
      </c>
      <c r="F1279">
        <v>0.53</v>
      </c>
      <c r="G1279">
        <v>3.5</v>
      </c>
      <c r="H1279">
        <v>1367</v>
      </c>
    </row>
    <row r="1280" spans="1:8" x14ac:dyDescent="0.25">
      <c r="A1280" s="1" t="s">
        <v>2549</v>
      </c>
      <c r="B1280" s="1" t="s">
        <v>2550</v>
      </c>
      <c r="C1280" s="1" t="s">
        <v>2750</v>
      </c>
      <c r="D1280" s="1" t="s">
        <v>2842</v>
      </c>
      <c r="E1280">
        <v>999</v>
      </c>
      <c r="F1280">
        <v>0.45</v>
      </c>
      <c r="G1280">
        <v>4</v>
      </c>
      <c r="H1280">
        <v>1313</v>
      </c>
    </row>
    <row r="1281" spans="1:8" x14ac:dyDescent="0.25">
      <c r="A1281" s="1" t="s">
        <v>2551</v>
      </c>
      <c r="B1281" s="1" t="s">
        <v>2552</v>
      </c>
      <c r="C1281" s="1" t="s">
        <v>2750</v>
      </c>
      <c r="D1281" s="1" t="s">
        <v>2879</v>
      </c>
      <c r="E1281">
        <v>199</v>
      </c>
      <c r="F1281">
        <v>0.56999999999999995</v>
      </c>
      <c r="G1281">
        <v>4.0999999999999996</v>
      </c>
      <c r="H1281">
        <v>212</v>
      </c>
    </row>
    <row r="1282" spans="1:8" x14ac:dyDescent="0.25">
      <c r="A1282" s="1" t="s">
        <v>2553</v>
      </c>
      <c r="B1282" s="1" t="s">
        <v>2554</v>
      </c>
      <c r="C1282" s="1" t="s">
        <v>2750</v>
      </c>
      <c r="D1282" s="1" t="s">
        <v>2853</v>
      </c>
      <c r="E1282">
        <v>1299</v>
      </c>
      <c r="F1282">
        <v>0.62</v>
      </c>
      <c r="G1282">
        <v>3.9</v>
      </c>
      <c r="H1282">
        <v>65</v>
      </c>
    </row>
    <row r="1283" spans="1:8" x14ac:dyDescent="0.25">
      <c r="A1283" s="1" t="s">
        <v>2555</v>
      </c>
      <c r="B1283" s="1" t="s">
        <v>2556</v>
      </c>
      <c r="C1283" s="1" t="s">
        <v>2750</v>
      </c>
      <c r="D1283" s="1" t="s">
        <v>2853</v>
      </c>
      <c r="E1283">
        <v>7776</v>
      </c>
      <c r="F1283">
        <v>0.25</v>
      </c>
      <c r="G1283">
        <v>4.4000000000000004</v>
      </c>
      <c r="H1283">
        <v>2737</v>
      </c>
    </row>
    <row r="1284" spans="1:8" x14ac:dyDescent="0.25">
      <c r="A1284" s="1" t="s">
        <v>2557</v>
      </c>
      <c r="B1284" s="1" t="s">
        <v>2558</v>
      </c>
      <c r="C1284" s="1" t="s">
        <v>2750</v>
      </c>
      <c r="D1284" s="1" t="s">
        <v>2835</v>
      </c>
      <c r="E1284">
        <v>2299</v>
      </c>
      <c r="F1284">
        <v>0.45</v>
      </c>
      <c r="G1284">
        <v>4.3</v>
      </c>
      <c r="H1284">
        <v>55</v>
      </c>
    </row>
    <row r="1285" spans="1:8" x14ac:dyDescent="0.25">
      <c r="A1285" s="1" t="s">
        <v>2559</v>
      </c>
      <c r="B1285" s="1" t="s">
        <v>2560</v>
      </c>
      <c r="C1285" s="1" t="s">
        <v>2750</v>
      </c>
      <c r="D1285" s="1" t="s">
        <v>2900</v>
      </c>
      <c r="E1285">
        <v>1500</v>
      </c>
      <c r="F1285">
        <v>0.27</v>
      </c>
      <c r="G1285">
        <v>4.5</v>
      </c>
      <c r="H1285">
        <v>1065</v>
      </c>
    </row>
    <row r="1286" spans="1:8" x14ac:dyDescent="0.25">
      <c r="A1286" s="1" t="s">
        <v>2561</v>
      </c>
      <c r="B1286" s="1" t="s">
        <v>2562</v>
      </c>
      <c r="C1286" s="1" t="s">
        <v>2750</v>
      </c>
      <c r="D1286" s="1" t="s">
        <v>2856</v>
      </c>
      <c r="E1286">
        <v>2590</v>
      </c>
      <c r="F1286">
        <v>0.26</v>
      </c>
      <c r="G1286">
        <v>4</v>
      </c>
      <c r="H1286">
        <v>2377</v>
      </c>
    </row>
    <row r="1287" spans="1:8" x14ac:dyDescent="0.25">
      <c r="A1287" s="1" t="s">
        <v>2563</v>
      </c>
      <c r="B1287" s="1" t="s">
        <v>2564</v>
      </c>
      <c r="C1287" s="1" t="s">
        <v>2750</v>
      </c>
      <c r="D1287" s="1" t="s">
        <v>2848</v>
      </c>
      <c r="E1287">
        <v>6299</v>
      </c>
      <c r="F1287">
        <v>0.48</v>
      </c>
      <c r="G1287">
        <v>3.9</v>
      </c>
      <c r="H1287">
        <v>2569</v>
      </c>
    </row>
    <row r="1288" spans="1:8" x14ac:dyDescent="0.25">
      <c r="A1288" s="1" t="s">
        <v>2565</v>
      </c>
      <c r="B1288" s="1" t="s">
        <v>2566</v>
      </c>
      <c r="C1288" s="1" t="s">
        <v>2750</v>
      </c>
      <c r="D1288" s="1" t="s">
        <v>2856</v>
      </c>
      <c r="E1288">
        <v>1795</v>
      </c>
      <c r="F1288">
        <v>0.33</v>
      </c>
      <c r="G1288">
        <v>4.2</v>
      </c>
      <c r="H1288">
        <v>5967</v>
      </c>
    </row>
    <row r="1289" spans="1:8" x14ac:dyDescent="0.25">
      <c r="A1289" s="1" t="s">
        <v>2567</v>
      </c>
      <c r="B1289" s="1" t="s">
        <v>2568</v>
      </c>
      <c r="C1289" s="1" t="s">
        <v>2750</v>
      </c>
      <c r="D1289" s="1" t="s">
        <v>2835</v>
      </c>
      <c r="E1289">
        <v>3190</v>
      </c>
      <c r="F1289">
        <v>0.54</v>
      </c>
      <c r="G1289">
        <v>4.0999999999999996</v>
      </c>
      <c r="H1289">
        <v>1776</v>
      </c>
    </row>
    <row r="1290" spans="1:8" x14ac:dyDescent="0.25">
      <c r="A1290" s="1" t="s">
        <v>2569</v>
      </c>
      <c r="B1290" s="1" t="s">
        <v>2570</v>
      </c>
      <c r="C1290" s="1" t="s">
        <v>2750</v>
      </c>
      <c r="D1290" s="1" t="s">
        <v>2853</v>
      </c>
      <c r="E1290">
        <v>4799</v>
      </c>
      <c r="F1290">
        <v>0.3</v>
      </c>
      <c r="G1290">
        <v>3.7</v>
      </c>
      <c r="H1290">
        <v>4200</v>
      </c>
    </row>
    <row r="1291" spans="1:8" x14ac:dyDescent="0.25">
      <c r="A1291" s="1" t="s">
        <v>2571</v>
      </c>
      <c r="B1291" s="1" t="s">
        <v>2572</v>
      </c>
      <c r="C1291" s="1" t="s">
        <v>2750</v>
      </c>
      <c r="D1291" s="1" t="s">
        <v>2862</v>
      </c>
      <c r="E1291">
        <v>8999</v>
      </c>
      <c r="F1291">
        <v>0.46</v>
      </c>
      <c r="G1291">
        <v>4.0999999999999996</v>
      </c>
      <c r="H1291">
        <v>297</v>
      </c>
    </row>
    <row r="1292" spans="1:8" x14ac:dyDescent="0.25">
      <c r="A1292" s="1" t="s">
        <v>2573</v>
      </c>
      <c r="B1292" s="1" t="s">
        <v>2574</v>
      </c>
      <c r="C1292" s="1" t="s">
        <v>2750</v>
      </c>
      <c r="D1292" s="1" t="s">
        <v>2847</v>
      </c>
      <c r="E1292">
        <v>1899</v>
      </c>
      <c r="F1292">
        <v>0.37</v>
      </c>
      <c r="G1292">
        <v>4.2</v>
      </c>
      <c r="H1292">
        <v>3858</v>
      </c>
    </row>
    <row r="1293" spans="1:8" x14ac:dyDescent="0.25">
      <c r="A1293" s="1" t="s">
        <v>2575</v>
      </c>
      <c r="B1293" s="1" t="s">
        <v>2576</v>
      </c>
      <c r="C1293" s="1" t="s">
        <v>2750</v>
      </c>
      <c r="D1293" s="1" t="s">
        <v>2890</v>
      </c>
      <c r="E1293">
        <v>5799</v>
      </c>
      <c r="F1293">
        <v>0.43</v>
      </c>
      <c r="G1293">
        <v>4.3</v>
      </c>
      <c r="H1293">
        <v>168</v>
      </c>
    </row>
    <row r="1294" spans="1:8" x14ac:dyDescent="0.25">
      <c r="A1294" s="1" t="s">
        <v>2577</v>
      </c>
      <c r="B1294" s="1" t="s">
        <v>2578</v>
      </c>
      <c r="C1294" s="1" t="s">
        <v>2750</v>
      </c>
      <c r="D1294" s="1" t="s">
        <v>2838</v>
      </c>
      <c r="E1294">
        <v>799</v>
      </c>
      <c r="F1294">
        <v>0.78</v>
      </c>
      <c r="G1294">
        <v>3.6</v>
      </c>
      <c r="H1294">
        <v>101</v>
      </c>
    </row>
    <row r="1295" spans="1:8" x14ac:dyDescent="0.25">
      <c r="A1295" s="1" t="s">
        <v>2579</v>
      </c>
      <c r="B1295" s="1" t="s">
        <v>2580</v>
      </c>
      <c r="C1295" s="1" t="s">
        <v>2750</v>
      </c>
      <c r="D1295" s="1" t="s">
        <v>2899</v>
      </c>
      <c r="E1295">
        <v>300</v>
      </c>
      <c r="F1295">
        <v>0.5</v>
      </c>
      <c r="G1295">
        <v>4.0999999999999996</v>
      </c>
      <c r="H1295">
        <v>4074</v>
      </c>
    </row>
    <row r="1296" spans="1:8" x14ac:dyDescent="0.25">
      <c r="A1296" s="1" t="s">
        <v>2581</v>
      </c>
      <c r="B1296" s="1" t="s">
        <v>2582</v>
      </c>
      <c r="C1296" s="1" t="s">
        <v>2750</v>
      </c>
      <c r="D1296" s="1" t="s">
        <v>2844</v>
      </c>
      <c r="E1296">
        <v>7200</v>
      </c>
      <c r="F1296">
        <v>0.24</v>
      </c>
      <c r="G1296">
        <v>4.5</v>
      </c>
      <c r="H1296">
        <v>1408</v>
      </c>
    </row>
    <row r="1297" spans="1:8" x14ac:dyDescent="0.25">
      <c r="A1297" s="1" t="s">
        <v>2583</v>
      </c>
      <c r="B1297" s="1" t="s">
        <v>2584</v>
      </c>
      <c r="C1297" s="1" t="s">
        <v>2750</v>
      </c>
      <c r="D1297" s="1" t="s">
        <v>2839</v>
      </c>
      <c r="E1297">
        <v>389</v>
      </c>
      <c r="F1297">
        <v>0.03</v>
      </c>
      <c r="G1297">
        <v>4.2</v>
      </c>
      <c r="H1297">
        <v>3739</v>
      </c>
    </row>
    <row r="1298" spans="1:8" x14ac:dyDescent="0.25">
      <c r="A1298" s="1" t="s">
        <v>2585</v>
      </c>
      <c r="B1298" s="1" t="s">
        <v>2586</v>
      </c>
      <c r="C1298" s="1" t="s">
        <v>2750</v>
      </c>
      <c r="D1298" s="1" t="s">
        <v>2876</v>
      </c>
      <c r="E1298">
        <v>13049</v>
      </c>
      <c r="F1298">
        <v>0.33</v>
      </c>
      <c r="G1298">
        <v>4.3</v>
      </c>
      <c r="H1298">
        <v>5891</v>
      </c>
    </row>
    <row r="1299" spans="1:8" x14ac:dyDescent="0.25">
      <c r="A1299" s="1" t="s">
        <v>2587</v>
      </c>
      <c r="B1299" s="1" t="s">
        <v>2588</v>
      </c>
      <c r="C1299" s="1" t="s">
        <v>2750</v>
      </c>
      <c r="D1299" s="1" t="s">
        <v>2844</v>
      </c>
      <c r="E1299">
        <v>5999</v>
      </c>
      <c r="F1299">
        <v>0.49</v>
      </c>
      <c r="G1299">
        <v>4</v>
      </c>
      <c r="H1299">
        <v>777</v>
      </c>
    </row>
    <row r="1300" spans="1:8" x14ac:dyDescent="0.25">
      <c r="A1300" s="1" t="s">
        <v>2589</v>
      </c>
      <c r="B1300" s="1" t="s">
        <v>2590</v>
      </c>
      <c r="C1300" s="1" t="s">
        <v>2750</v>
      </c>
      <c r="D1300" s="1" t="s">
        <v>2842</v>
      </c>
      <c r="E1300">
        <v>2400</v>
      </c>
      <c r="F1300">
        <v>0.27</v>
      </c>
      <c r="G1300">
        <v>4.2</v>
      </c>
      <c r="H1300">
        <v>14160</v>
      </c>
    </row>
    <row r="1301" spans="1:8" x14ac:dyDescent="0.25">
      <c r="A1301" s="1" t="s">
        <v>2591</v>
      </c>
      <c r="B1301" s="1" t="s">
        <v>2592</v>
      </c>
      <c r="C1301" s="1" t="s">
        <v>2750</v>
      </c>
      <c r="D1301" s="1" t="s">
        <v>2841</v>
      </c>
      <c r="E1301">
        <v>5295</v>
      </c>
      <c r="F1301">
        <v>0.4</v>
      </c>
      <c r="G1301">
        <v>4.2</v>
      </c>
      <c r="H1301">
        <v>6919</v>
      </c>
    </row>
    <row r="1302" spans="1:8" x14ac:dyDescent="0.25">
      <c r="A1302" s="1" t="s">
        <v>2593</v>
      </c>
      <c r="B1302" s="1" t="s">
        <v>2594</v>
      </c>
      <c r="C1302" s="1" t="s">
        <v>2750</v>
      </c>
      <c r="D1302" s="1" t="s">
        <v>2876</v>
      </c>
      <c r="E1302">
        <v>24999</v>
      </c>
      <c r="F1302">
        <v>0.8</v>
      </c>
      <c r="G1302">
        <v>4.5</v>
      </c>
      <c r="H1302">
        <v>287</v>
      </c>
    </row>
    <row r="1303" spans="1:8" x14ac:dyDescent="0.25">
      <c r="A1303" s="1" t="s">
        <v>2595</v>
      </c>
      <c r="B1303" s="1" t="s">
        <v>2596</v>
      </c>
      <c r="C1303" s="1" t="s">
        <v>2750</v>
      </c>
      <c r="D1303" s="1" t="s">
        <v>2851</v>
      </c>
      <c r="E1303">
        <v>799</v>
      </c>
      <c r="F1303">
        <v>0.51</v>
      </c>
      <c r="G1303">
        <v>3.8</v>
      </c>
      <c r="H1303">
        <v>287</v>
      </c>
    </row>
    <row r="1304" spans="1:8" x14ac:dyDescent="0.25">
      <c r="A1304" s="1" t="s">
        <v>2597</v>
      </c>
      <c r="B1304" s="1" t="s">
        <v>2598</v>
      </c>
      <c r="C1304" s="1" t="s">
        <v>2750</v>
      </c>
      <c r="D1304" s="1" t="s">
        <v>2901</v>
      </c>
      <c r="E1304">
        <v>2999</v>
      </c>
      <c r="F1304">
        <v>0.33</v>
      </c>
      <c r="G1304">
        <v>4.4000000000000004</v>
      </c>
      <c r="H1304">
        <v>388</v>
      </c>
    </row>
    <row r="1305" spans="1:8" x14ac:dyDescent="0.25">
      <c r="A1305" s="1" t="s">
        <v>2599</v>
      </c>
      <c r="B1305" s="1" t="s">
        <v>2600</v>
      </c>
      <c r="C1305" s="1" t="s">
        <v>2750</v>
      </c>
      <c r="D1305" s="1" t="s">
        <v>2855</v>
      </c>
      <c r="E1305">
        <v>2495</v>
      </c>
      <c r="F1305">
        <v>0.35</v>
      </c>
      <c r="G1305">
        <v>4.0999999999999996</v>
      </c>
      <c r="H1305">
        <v>827</v>
      </c>
    </row>
    <row r="1306" spans="1:8" x14ac:dyDescent="0.25">
      <c r="A1306" s="1" t="s">
        <v>2601</v>
      </c>
      <c r="B1306" s="1" t="s">
        <v>2602</v>
      </c>
      <c r="C1306" s="1" t="s">
        <v>2750</v>
      </c>
      <c r="D1306" s="1" t="s">
        <v>2899</v>
      </c>
      <c r="E1306">
        <v>450</v>
      </c>
      <c r="F1306">
        <v>0.59</v>
      </c>
      <c r="G1306">
        <v>4.2</v>
      </c>
      <c r="H1306">
        <v>4971</v>
      </c>
    </row>
    <row r="1307" spans="1:8" x14ac:dyDescent="0.25">
      <c r="A1307" s="1" t="s">
        <v>2603</v>
      </c>
      <c r="B1307" s="1" t="s">
        <v>2604</v>
      </c>
      <c r="C1307" s="1" t="s">
        <v>2750</v>
      </c>
      <c r="D1307" s="1" t="s">
        <v>2838</v>
      </c>
      <c r="E1307">
        <v>999</v>
      </c>
      <c r="F1307">
        <v>0.55000000000000004</v>
      </c>
      <c r="G1307">
        <v>4.3</v>
      </c>
      <c r="H1307">
        <v>229</v>
      </c>
    </row>
    <row r="1308" spans="1:8" x14ac:dyDescent="0.25">
      <c r="A1308" s="1" t="s">
        <v>2605</v>
      </c>
      <c r="B1308" s="1" t="s">
        <v>2606</v>
      </c>
      <c r="C1308" s="1" t="s">
        <v>2750</v>
      </c>
      <c r="D1308" s="1" t="s">
        <v>2902</v>
      </c>
      <c r="E1308">
        <v>1690</v>
      </c>
      <c r="F1308">
        <v>0.59</v>
      </c>
      <c r="G1308">
        <v>4.0999999999999996</v>
      </c>
      <c r="H1308">
        <v>3524</v>
      </c>
    </row>
    <row r="1309" spans="1:8" x14ac:dyDescent="0.25">
      <c r="A1309" s="1" t="s">
        <v>2607</v>
      </c>
      <c r="B1309" s="1" t="s">
        <v>2608</v>
      </c>
      <c r="C1309" s="1" t="s">
        <v>2750</v>
      </c>
      <c r="D1309" s="1" t="s">
        <v>2841</v>
      </c>
      <c r="E1309">
        <v>3890</v>
      </c>
      <c r="F1309">
        <v>0.59</v>
      </c>
      <c r="G1309">
        <v>4.2</v>
      </c>
      <c r="H1309">
        <v>156</v>
      </c>
    </row>
    <row r="1310" spans="1:8" x14ac:dyDescent="0.25">
      <c r="A1310" s="1" t="s">
        <v>2609</v>
      </c>
      <c r="B1310" s="1" t="s">
        <v>2610</v>
      </c>
      <c r="C1310" s="1" t="s">
        <v>2750</v>
      </c>
      <c r="D1310" s="1" t="s">
        <v>2869</v>
      </c>
      <c r="E1310">
        <v>260</v>
      </c>
      <c r="F1310">
        <v>0.11</v>
      </c>
      <c r="G1310">
        <v>4.0999999999999996</v>
      </c>
      <c r="H1310">
        <v>490</v>
      </c>
    </row>
    <row r="1311" spans="1:8" x14ac:dyDescent="0.25">
      <c r="A1311" s="1" t="s">
        <v>2611</v>
      </c>
      <c r="B1311" s="1" t="s">
        <v>2612</v>
      </c>
      <c r="C1311" s="1" t="s">
        <v>2750</v>
      </c>
      <c r="D1311" s="1" t="s">
        <v>2838</v>
      </c>
      <c r="E1311">
        <v>599</v>
      </c>
      <c r="F1311">
        <v>0.38</v>
      </c>
      <c r="G1311">
        <v>3.9</v>
      </c>
      <c r="H1311">
        <v>82</v>
      </c>
    </row>
    <row r="1312" spans="1:8" x14ac:dyDescent="0.25">
      <c r="A1312" s="1" t="s">
        <v>2613</v>
      </c>
      <c r="B1312" s="1" t="s">
        <v>2614</v>
      </c>
      <c r="C1312" s="1" t="s">
        <v>2750</v>
      </c>
      <c r="D1312" s="1" t="s">
        <v>2835</v>
      </c>
      <c r="E1312">
        <v>1950</v>
      </c>
      <c r="F1312">
        <v>0.59</v>
      </c>
      <c r="G1312">
        <v>3.9</v>
      </c>
      <c r="H1312">
        <v>710</v>
      </c>
    </row>
    <row r="1313" spans="1:8" x14ac:dyDescent="0.25">
      <c r="A1313" s="1" t="s">
        <v>2615</v>
      </c>
      <c r="B1313" s="1" t="s">
        <v>2616</v>
      </c>
      <c r="C1313" s="1" t="s">
        <v>2750</v>
      </c>
      <c r="D1313" s="1" t="s">
        <v>2844</v>
      </c>
      <c r="E1313">
        <v>2990</v>
      </c>
      <c r="F1313">
        <v>0.6</v>
      </c>
      <c r="G1313">
        <v>3.8</v>
      </c>
      <c r="H1313">
        <v>133</v>
      </c>
    </row>
    <row r="1314" spans="1:8" x14ac:dyDescent="0.25">
      <c r="A1314" s="1" t="s">
        <v>2617</v>
      </c>
      <c r="B1314" s="1" t="s">
        <v>2618</v>
      </c>
      <c r="C1314" s="1" t="s">
        <v>2750</v>
      </c>
      <c r="D1314" s="1" t="s">
        <v>2844</v>
      </c>
      <c r="E1314">
        <v>8073</v>
      </c>
      <c r="F1314">
        <v>0.24</v>
      </c>
      <c r="G1314">
        <v>4.5999999999999996</v>
      </c>
      <c r="H1314">
        <v>2751</v>
      </c>
    </row>
    <row r="1315" spans="1:8" x14ac:dyDescent="0.25">
      <c r="A1315" s="1" t="s">
        <v>2619</v>
      </c>
      <c r="B1315" s="1" t="s">
        <v>2620</v>
      </c>
      <c r="C1315" s="1" t="s">
        <v>2750</v>
      </c>
      <c r="D1315" s="1" t="s">
        <v>2852</v>
      </c>
      <c r="E1315">
        <v>2599</v>
      </c>
      <c r="F1315">
        <v>0.31</v>
      </c>
      <c r="G1315">
        <v>3.6</v>
      </c>
      <c r="H1315">
        <v>771</v>
      </c>
    </row>
    <row r="1316" spans="1:8" x14ac:dyDescent="0.25">
      <c r="A1316" s="1" t="s">
        <v>2621</v>
      </c>
      <c r="B1316" s="1" t="s">
        <v>2622</v>
      </c>
      <c r="C1316" s="1" t="s">
        <v>2750</v>
      </c>
      <c r="D1316" s="1" t="s">
        <v>2892</v>
      </c>
      <c r="E1316">
        <v>29999</v>
      </c>
      <c r="F1316">
        <v>0.37</v>
      </c>
      <c r="G1316">
        <v>4.0999999999999996</v>
      </c>
      <c r="H1316">
        <v>2536</v>
      </c>
    </row>
    <row r="1317" spans="1:8" x14ac:dyDescent="0.25">
      <c r="A1317" s="1" t="s">
        <v>2623</v>
      </c>
      <c r="B1317" s="1" t="s">
        <v>2624</v>
      </c>
      <c r="C1317" s="1" t="s">
        <v>2750</v>
      </c>
      <c r="D1317" s="1" t="s">
        <v>2867</v>
      </c>
      <c r="E1317">
        <v>2360</v>
      </c>
      <c r="F1317">
        <v>0.15</v>
      </c>
      <c r="G1317">
        <v>4.2</v>
      </c>
      <c r="H1317">
        <v>7801</v>
      </c>
    </row>
    <row r="1318" spans="1:8" x14ac:dyDescent="0.25">
      <c r="A1318" s="1" t="s">
        <v>2625</v>
      </c>
      <c r="B1318" s="1" t="s">
        <v>2626</v>
      </c>
      <c r="C1318" s="1" t="s">
        <v>2750</v>
      </c>
      <c r="D1318" s="1" t="s">
        <v>2903</v>
      </c>
      <c r="E1318">
        <v>11495</v>
      </c>
      <c r="F1318">
        <v>0.48</v>
      </c>
      <c r="G1318">
        <v>4.3</v>
      </c>
      <c r="H1318">
        <v>534</v>
      </c>
    </row>
    <row r="1319" spans="1:8" x14ac:dyDescent="0.25">
      <c r="A1319" s="1" t="s">
        <v>2627</v>
      </c>
      <c r="B1319" s="1" t="s">
        <v>2628</v>
      </c>
      <c r="C1319" s="1" t="s">
        <v>2750</v>
      </c>
      <c r="D1319" s="1" t="s">
        <v>2860</v>
      </c>
      <c r="E1319">
        <v>4780</v>
      </c>
      <c r="F1319">
        <v>0.46</v>
      </c>
      <c r="G1319">
        <v>3.9</v>
      </c>
      <c r="H1319">
        <v>898</v>
      </c>
    </row>
    <row r="1320" spans="1:8" x14ac:dyDescent="0.25">
      <c r="A1320" s="1" t="s">
        <v>2629</v>
      </c>
      <c r="B1320" s="1" t="s">
        <v>2630</v>
      </c>
      <c r="C1320" s="1" t="s">
        <v>2750</v>
      </c>
      <c r="D1320" s="1" t="s">
        <v>2897</v>
      </c>
      <c r="E1320">
        <v>2400</v>
      </c>
      <c r="F1320">
        <v>0.5</v>
      </c>
      <c r="G1320">
        <v>3.9</v>
      </c>
      <c r="H1320">
        <v>1202</v>
      </c>
    </row>
    <row r="1321" spans="1:8" x14ac:dyDescent="0.25">
      <c r="A1321" s="1" t="s">
        <v>2631</v>
      </c>
      <c r="B1321" s="1" t="s">
        <v>2632</v>
      </c>
      <c r="C1321" s="1" t="s">
        <v>2750</v>
      </c>
      <c r="D1321" s="1" t="s">
        <v>2851</v>
      </c>
      <c r="E1321">
        <v>249</v>
      </c>
      <c r="F1321">
        <v>0.12</v>
      </c>
      <c r="G1321">
        <v>4</v>
      </c>
      <c r="H1321">
        <v>1108</v>
      </c>
    </row>
    <row r="1322" spans="1:8" x14ac:dyDescent="0.25">
      <c r="A1322" s="1" t="s">
        <v>2633</v>
      </c>
      <c r="B1322" s="1" t="s">
        <v>2634</v>
      </c>
      <c r="C1322" s="1" t="s">
        <v>2750</v>
      </c>
      <c r="D1322" s="1" t="s">
        <v>2837</v>
      </c>
      <c r="E1322">
        <v>1199</v>
      </c>
      <c r="F1322">
        <v>0.33</v>
      </c>
      <c r="G1322">
        <v>4.4000000000000004</v>
      </c>
      <c r="H1322">
        <v>17</v>
      </c>
    </row>
    <row r="1323" spans="1:8" x14ac:dyDescent="0.25">
      <c r="A1323" s="1" t="s">
        <v>2635</v>
      </c>
      <c r="B1323" s="1" t="s">
        <v>2636</v>
      </c>
      <c r="C1323" s="1" t="s">
        <v>2750</v>
      </c>
      <c r="D1323" s="1" t="s">
        <v>2874</v>
      </c>
      <c r="E1323">
        <v>10999</v>
      </c>
      <c r="F1323">
        <v>0.44</v>
      </c>
      <c r="G1323">
        <v>4.2</v>
      </c>
      <c r="H1323">
        <v>10429</v>
      </c>
    </row>
    <row r="1324" spans="1:8" x14ac:dyDescent="0.25">
      <c r="A1324" s="1" t="s">
        <v>2637</v>
      </c>
      <c r="B1324" s="1" t="s">
        <v>2638</v>
      </c>
      <c r="C1324" s="1" t="s">
        <v>2750</v>
      </c>
      <c r="D1324" s="1" t="s">
        <v>2850</v>
      </c>
      <c r="E1324">
        <v>10995</v>
      </c>
      <c r="F1324">
        <v>0.38</v>
      </c>
      <c r="G1324">
        <v>4.5</v>
      </c>
      <c r="H1324">
        <v>3192</v>
      </c>
    </row>
    <row r="1325" spans="1:8" x14ac:dyDescent="0.25">
      <c r="A1325" s="1" t="s">
        <v>2639</v>
      </c>
      <c r="B1325" s="1" t="s">
        <v>2640</v>
      </c>
      <c r="C1325" s="1" t="s">
        <v>2750</v>
      </c>
      <c r="D1325" s="1" t="s">
        <v>2904</v>
      </c>
      <c r="E1325">
        <v>3300</v>
      </c>
      <c r="F1325">
        <v>0.4</v>
      </c>
      <c r="G1325">
        <v>4.0999999999999996</v>
      </c>
      <c r="H1325">
        <v>5873</v>
      </c>
    </row>
    <row r="1326" spans="1:8" x14ac:dyDescent="0.25">
      <c r="A1326" s="1" t="s">
        <v>2641</v>
      </c>
      <c r="B1326" s="1" t="s">
        <v>2642</v>
      </c>
      <c r="C1326" s="1" t="s">
        <v>2750</v>
      </c>
      <c r="D1326" s="1" t="s">
        <v>2869</v>
      </c>
      <c r="E1326">
        <v>400</v>
      </c>
      <c r="F1326">
        <v>0.5</v>
      </c>
      <c r="G1326">
        <v>4.0999999999999996</v>
      </c>
      <c r="H1326">
        <v>1379</v>
      </c>
    </row>
    <row r="1327" spans="1:8" x14ac:dyDescent="0.25">
      <c r="A1327" s="1" t="s">
        <v>2643</v>
      </c>
      <c r="B1327" s="1" t="s">
        <v>2644</v>
      </c>
      <c r="C1327" s="1" t="s">
        <v>2750</v>
      </c>
      <c r="D1327" s="1" t="s">
        <v>2835</v>
      </c>
      <c r="E1327">
        <v>1440</v>
      </c>
      <c r="F1327">
        <v>0.18</v>
      </c>
      <c r="G1327">
        <v>4.2</v>
      </c>
      <c r="H1327">
        <v>1527</v>
      </c>
    </row>
    <row r="1328" spans="1:8" x14ac:dyDescent="0.25">
      <c r="A1328" s="1" t="s">
        <v>2645</v>
      </c>
      <c r="B1328" s="1" t="s">
        <v>2646</v>
      </c>
      <c r="C1328" s="1" t="s">
        <v>2750</v>
      </c>
      <c r="D1328" s="1" t="s">
        <v>2860</v>
      </c>
      <c r="E1328">
        <v>3045</v>
      </c>
      <c r="F1328">
        <v>0.28000000000000003</v>
      </c>
      <c r="G1328">
        <v>4.2</v>
      </c>
      <c r="H1328">
        <v>2686</v>
      </c>
    </row>
    <row r="1329" spans="1:8" x14ac:dyDescent="0.25">
      <c r="A1329" s="1" t="s">
        <v>2647</v>
      </c>
      <c r="B1329" s="1" t="s">
        <v>2648</v>
      </c>
      <c r="C1329" s="1" t="s">
        <v>2750</v>
      </c>
      <c r="D1329" s="1" t="s">
        <v>2868</v>
      </c>
      <c r="E1329">
        <v>3595</v>
      </c>
      <c r="F1329">
        <v>0.17</v>
      </c>
      <c r="G1329">
        <v>4</v>
      </c>
      <c r="H1329">
        <v>178</v>
      </c>
    </row>
    <row r="1330" spans="1:8" x14ac:dyDescent="0.25">
      <c r="A1330" s="1" t="s">
        <v>2649</v>
      </c>
      <c r="B1330" s="1" t="s">
        <v>2650</v>
      </c>
      <c r="C1330" s="1" t="s">
        <v>2750</v>
      </c>
      <c r="D1330" s="1" t="s">
        <v>2905</v>
      </c>
      <c r="E1330">
        <v>500</v>
      </c>
      <c r="F1330">
        <v>0.49</v>
      </c>
      <c r="G1330">
        <v>4.3</v>
      </c>
      <c r="H1330">
        <v>2664</v>
      </c>
    </row>
    <row r="1331" spans="1:8" x14ac:dyDescent="0.25">
      <c r="A1331" s="1" t="s">
        <v>2651</v>
      </c>
      <c r="B1331" s="1" t="s">
        <v>2652</v>
      </c>
      <c r="C1331" s="1" t="s">
        <v>2750</v>
      </c>
      <c r="D1331" s="1" t="s">
        <v>2890</v>
      </c>
      <c r="E1331">
        <v>799</v>
      </c>
      <c r="F1331">
        <v>0.38</v>
      </c>
      <c r="G1331">
        <v>3.6</v>
      </c>
      <c r="H1331">
        <v>212</v>
      </c>
    </row>
    <row r="1332" spans="1:8" x14ac:dyDescent="0.25">
      <c r="A1332" s="1" t="s">
        <v>2653</v>
      </c>
      <c r="B1332" s="1" t="s">
        <v>2654</v>
      </c>
      <c r="C1332" s="1" t="s">
        <v>2750</v>
      </c>
      <c r="D1332" s="1" t="s">
        <v>2836</v>
      </c>
      <c r="E1332">
        <v>1899</v>
      </c>
      <c r="F1332">
        <v>0.39</v>
      </c>
      <c r="G1332">
        <v>3.5</v>
      </c>
      <c r="H1332">
        <v>24</v>
      </c>
    </row>
    <row r="1333" spans="1:8" x14ac:dyDescent="0.25">
      <c r="A1333" s="1" t="s">
        <v>2655</v>
      </c>
      <c r="B1333" s="1" t="s">
        <v>2656</v>
      </c>
      <c r="C1333" s="1" t="s">
        <v>2750</v>
      </c>
      <c r="D1333" s="1" t="s">
        <v>2843</v>
      </c>
      <c r="E1333">
        <v>799</v>
      </c>
      <c r="F1333">
        <v>0.43</v>
      </c>
      <c r="G1333">
        <v>4.3</v>
      </c>
      <c r="H1333">
        <v>1868</v>
      </c>
    </row>
    <row r="1334" spans="1:8" x14ac:dyDescent="0.25">
      <c r="A1334" s="1" t="s">
        <v>2657</v>
      </c>
      <c r="B1334" s="1" t="s">
        <v>2658</v>
      </c>
      <c r="C1334" s="1" t="s">
        <v>2750</v>
      </c>
      <c r="D1334" s="1" t="s">
        <v>2889</v>
      </c>
      <c r="E1334">
        <v>399</v>
      </c>
      <c r="F1334">
        <v>0.43</v>
      </c>
      <c r="G1334">
        <v>3.6</v>
      </c>
      <c r="H1334">
        <v>451</v>
      </c>
    </row>
    <row r="1335" spans="1:8" x14ac:dyDescent="0.25">
      <c r="A1335" s="1" t="s">
        <v>2659</v>
      </c>
      <c r="B1335" s="1" t="s">
        <v>2660</v>
      </c>
      <c r="C1335" s="1" t="s">
        <v>2750</v>
      </c>
      <c r="D1335" s="1" t="s">
        <v>2869</v>
      </c>
      <c r="E1335">
        <v>699</v>
      </c>
      <c r="F1335">
        <v>0.72</v>
      </c>
      <c r="G1335">
        <v>2.9</v>
      </c>
      <c r="H1335">
        <v>159</v>
      </c>
    </row>
    <row r="1336" spans="1:8" x14ac:dyDescent="0.25">
      <c r="A1336" s="1" t="s">
        <v>2661</v>
      </c>
      <c r="B1336" s="1" t="s">
        <v>2662</v>
      </c>
      <c r="C1336" s="1" t="s">
        <v>2750</v>
      </c>
      <c r="D1336" s="1" t="s">
        <v>2897</v>
      </c>
      <c r="E1336">
        <v>1999</v>
      </c>
      <c r="F1336">
        <v>0.55000000000000004</v>
      </c>
      <c r="G1336">
        <v>4.2</v>
      </c>
      <c r="H1336">
        <v>39</v>
      </c>
    </row>
    <row r="1337" spans="1:8" x14ac:dyDescent="0.25">
      <c r="A1337" s="1" t="s">
        <v>2663</v>
      </c>
      <c r="B1337" s="1" t="s">
        <v>2664</v>
      </c>
      <c r="C1337" s="1" t="s">
        <v>2750</v>
      </c>
      <c r="D1337" s="1" t="s">
        <v>2880</v>
      </c>
      <c r="E1337">
        <v>2199</v>
      </c>
      <c r="F1337">
        <v>0.32</v>
      </c>
      <c r="G1337">
        <v>4.4000000000000004</v>
      </c>
      <c r="H1337">
        <v>6531</v>
      </c>
    </row>
    <row r="1338" spans="1:8" x14ac:dyDescent="0.25">
      <c r="A1338" s="1" t="s">
        <v>2665</v>
      </c>
      <c r="B1338" s="1" t="s">
        <v>2666</v>
      </c>
      <c r="C1338" s="1" t="s">
        <v>2750</v>
      </c>
      <c r="D1338" s="1" t="s">
        <v>2842</v>
      </c>
      <c r="E1338">
        <v>999</v>
      </c>
      <c r="F1338">
        <v>0.56999999999999995</v>
      </c>
      <c r="G1338">
        <v>4.0999999999999996</v>
      </c>
      <c r="H1338">
        <v>222</v>
      </c>
    </row>
    <row r="1339" spans="1:8" x14ac:dyDescent="0.25">
      <c r="A1339" s="1" t="s">
        <v>2667</v>
      </c>
      <c r="B1339" s="1" t="s">
        <v>2668</v>
      </c>
      <c r="C1339" s="1" t="s">
        <v>2750</v>
      </c>
      <c r="D1339" s="1" t="s">
        <v>2837</v>
      </c>
      <c r="E1339">
        <v>3290</v>
      </c>
      <c r="F1339">
        <v>0.28999999999999998</v>
      </c>
      <c r="G1339">
        <v>3.8</v>
      </c>
      <c r="H1339">
        <v>195</v>
      </c>
    </row>
    <row r="1340" spans="1:8" x14ac:dyDescent="0.25">
      <c r="A1340" s="1" t="s">
        <v>2669</v>
      </c>
      <c r="B1340" s="1" t="s">
        <v>2670</v>
      </c>
      <c r="C1340" s="1" t="s">
        <v>2750</v>
      </c>
      <c r="D1340" s="1" t="s">
        <v>2878</v>
      </c>
      <c r="E1340">
        <v>3098</v>
      </c>
      <c r="F1340">
        <v>0.5</v>
      </c>
      <c r="G1340">
        <v>3.5</v>
      </c>
      <c r="H1340">
        <v>2283</v>
      </c>
    </row>
    <row r="1341" spans="1:8" x14ac:dyDescent="0.25">
      <c r="A1341" s="1" t="s">
        <v>2671</v>
      </c>
      <c r="B1341" s="1" t="s">
        <v>2672</v>
      </c>
      <c r="C1341" s="1" t="s">
        <v>2750</v>
      </c>
      <c r="D1341" s="1" t="s">
        <v>2836</v>
      </c>
      <c r="E1341">
        <v>4990</v>
      </c>
      <c r="F1341">
        <v>0.3</v>
      </c>
      <c r="G1341">
        <v>4.0999999999999996</v>
      </c>
      <c r="H1341">
        <v>1127</v>
      </c>
    </row>
    <row r="1342" spans="1:8" x14ac:dyDescent="0.25">
      <c r="A1342" s="1" t="s">
        <v>2673</v>
      </c>
      <c r="B1342" s="1" t="s">
        <v>2674</v>
      </c>
      <c r="C1342" s="1" t="s">
        <v>2750</v>
      </c>
      <c r="D1342" s="1" t="s">
        <v>2857</v>
      </c>
      <c r="E1342">
        <v>1200</v>
      </c>
      <c r="F1342">
        <v>0.59</v>
      </c>
      <c r="G1342">
        <v>3.2</v>
      </c>
      <c r="H1342">
        <v>113</v>
      </c>
    </row>
    <row r="1343" spans="1:8" x14ac:dyDescent="0.25">
      <c r="A1343" s="1" t="s">
        <v>2675</v>
      </c>
      <c r="B1343" s="1" t="s">
        <v>2676</v>
      </c>
      <c r="C1343" s="1" t="s">
        <v>2750</v>
      </c>
      <c r="D1343" s="1" t="s">
        <v>2835</v>
      </c>
      <c r="E1343">
        <v>2695</v>
      </c>
      <c r="F1343">
        <v>0</v>
      </c>
      <c r="G1343">
        <v>4.4000000000000004</v>
      </c>
      <c r="H1343">
        <v>2518</v>
      </c>
    </row>
    <row r="1344" spans="1:8" x14ac:dyDescent="0.25">
      <c r="A1344" s="1" t="s">
        <v>2677</v>
      </c>
      <c r="B1344" s="1" t="s">
        <v>2678</v>
      </c>
      <c r="C1344" s="1" t="s">
        <v>2750</v>
      </c>
      <c r="D1344" s="1" t="s">
        <v>2836</v>
      </c>
      <c r="E1344">
        <v>2299</v>
      </c>
      <c r="F1344">
        <v>0.59</v>
      </c>
      <c r="G1344">
        <v>3.6</v>
      </c>
      <c r="H1344">
        <v>550</v>
      </c>
    </row>
    <row r="1345" spans="1:8" x14ac:dyDescent="0.25">
      <c r="A1345" s="1" t="s">
        <v>2679</v>
      </c>
      <c r="B1345" s="1" t="s">
        <v>2680</v>
      </c>
      <c r="C1345" s="1" t="s">
        <v>2750</v>
      </c>
      <c r="D1345" s="1" t="s">
        <v>2838</v>
      </c>
      <c r="E1345">
        <v>999</v>
      </c>
      <c r="F1345">
        <v>0.8</v>
      </c>
      <c r="G1345">
        <v>3.1</v>
      </c>
      <c r="H1345">
        <v>2</v>
      </c>
    </row>
    <row r="1346" spans="1:8" x14ac:dyDescent="0.25">
      <c r="A1346" s="1" t="s">
        <v>2681</v>
      </c>
      <c r="B1346" s="1" t="s">
        <v>2682</v>
      </c>
      <c r="C1346" s="1" t="s">
        <v>2750</v>
      </c>
      <c r="D1346" s="1" t="s">
        <v>2869</v>
      </c>
      <c r="E1346">
        <v>919</v>
      </c>
      <c r="F1346">
        <v>0.59</v>
      </c>
      <c r="G1346">
        <v>4</v>
      </c>
      <c r="H1346">
        <v>1090</v>
      </c>
    </row>
    <row r="1347" spans="1:8" x14ac:dyDescent="0.25">
      <c r="A1347" s="1" t="s">
        <v>2683</v>
      </c>
      <c r="B1347" s="1" t="s">
        <v>2684</v>
      </c>
      <c r="C1347" s="1" t="s">
        <v>2750</v>
      </c>
      <c r="D1347" s="1" t="s">
        <v>2871</v>
      </c>
      <c r="E1347">
        <v>3045</v>
      </c>
      <c r="F1347">
        <v>0.25</v>
      </c>
      <c r="G1347">
        <v>4.0999999999999996</v>
      </c>
      <c r="H1347">
        <v>4118</v>
      </c>
    </row>
    <row r="1348" spans="1:8" x14ac:dyDescent="0.25">
      <c r="A1348" s="1" t="s">
        <v>2685</v>
      </c>
      <c r="B1348" s="1" t="s">
        <v>2686</v>
      </c>
      <c r="C1348" s="1" t="s">
        <v>2750</v>
      </c>
      <c r="D1348" s="1" t="s">
        <v>2865</v>
      </c>
      <c r="E1348">
        <v>3080</v>
      </c>
      <c r="F1348">
        <v>0.28000000000000003</v>
      </c>
      <c r="G1348">
        <v>3.6</v>
      </c>
      <c r="H1348">
        <v>468</v>
      </c>
    </row>
    <row r="1349" spans="1:8" x14ac:dyDescent="0.25">
      <c r="A1349" s="1" t="s">
        <v>2687</v>
      </c>
      <c r="B1349" s="1" t="s">
        <v>2688</v>
      </c>
      <c r="C1349" s="1" t="s">
        <v>2750</v>
      </c>
      <c r="D1349" s="1" t="s">
        <v>2867</v>
      </c>
      <c r="E1349">
        <v>1890</v>
      </c>
      <c r="F1349">
        <v>0.26</v>
      </c>
      <c r="G1349">
        <v>4</v>
      </c>
      <c r="H1349">
        <v>8031</v>
      </c>
    </row>
    <row r="1350" spans="1:8" x14ac:dyDescent="0.25">
      <c r="A1350" s="1" t="s">
        <v>2689</v>
      </c>
      <c r="B1350" s="1" t="s">
        <v>2690</v>
      </c>
      <c r="C1350" s="1" t="s">
        <v>2750</v>
      </c>
      <c r="D1350" s="1" t="s">
        <v>2856</v>
      </c>
      <c r="E1350">
        <v>3690</v>
      </c>
      <c r="F1350">
        <v>0.22</v>
      </c>
      <c r="G1350">
        <v>4.3</v>
      </c>
      <c r="H1350">
        <v>6987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06BD-83A7-4605-BFD5-5F3C2F2FBA66}">
  <dimension ref="A1:C87"/>
  <sheetViews>
    <sheetView tabSelected="1" workbookViewId="0">
      <selection activeCell="J51" sqref="J51"/>
    </sheetView>
  </sheetViews>
  <sheetFormatPr defaultRowHeight="15" x14ac:dyDescent="0.25"/>
  <cols>
    <col min="1" max="1" width="22.85546875" bestFit="1" customWidth="1"/>
    <col min="2" max="2" width="16.28515625" bestFit="1" customWidth="1"/>
    <col min="3" max="5" width="19.5703125" bestFit="1" customWidth="1"/>
    <col min="6" max="6" width="12.5703125" bestFit="1" customWidth="1"/>
    <col min="7" max="7" width="12.140625" bestFit="1" customWidth="1"/>
    <col min="8" max="8" width="12.28515625" bestFit="1" customWidth="1"/>
    <col min="9" max="9" width="12.140625" bestFit="1" customWidth="1"/>
    <col min="10" max="10" width="13.85546875" bestFit="1" customWidth="1"/>
    <col min="11" max="11" width="12.42578125" bestFit="1" customWidth="1"/>
    <col min="12" max="12" width="11.5703125" bestFit="1" customWidth="1"/>
    <col min="13" max="13" width="11" bestFit="1" customWidth="1"/>
    <col min="14" max="14" width="14" bestFit="1" customWidth="1"/>
    <col min="15" max="15" width="11.42578125" bestFit="1" customWidth="1"/>
    <col min="16" max="16" width="13.140625" bestFit="1" customWidth="1"/>
    <col min="17" max="17" width="11.7109375" bestFit="1" customWidth="1"/>
    <col min="18" max="18" width="12.7109375" bestFit="1" customWidth="1"/>
    <col min="19" max="19" width="10.85546875" bestFit="1" customWidth="1"/>
    <col min="20" max="20" width="11.42578125" bestFit="1" customWidth="1"/>
    <col min="21" max="21" width="12.140625" bestFit="1" customWidth="1"/>
    <col min="22" max="22" width="13.5703125" bestFit="1" customWidth="1"/>
    <col min="23" max="23" width="13.7109375" bestFit="1" customWidth="1"/>
    <col min="24" max="24" width="12.42578125" bestFit="1" customWidth="1"/>
    <col min="25" max="26" width="12.7109375" bestFit="1" customWidth="1"/>
    <col min="27" max="27" width="11.28515625" bestFit="1" customWidth="1"/>
    <col min="28" max="28" width="11.7109375" bestFit="1" customWidth="1"/>
    <col min="29" max="29" width="10.5703125" bestFit="1" customWidth="1"/>
    <col min="30" max="30" width="11.140625" bestFit="1" customWidth="1"/>
    <col min="31" max="32" width="11.28515625" bestFit="1" customWidth="1"/>
    <col min="33" max="33" width="12.5703125" bestFit="1" customWidth="1"/>
    <col min="34" max="34" width="12.28515625" bestFit="1" customWidth="1"/>
    <col min="35" max="35" width="11.28515625" bestFit="1" customWidth="1"/>
    <col min="36" max="37" width="12.140625" bestFit="1" customWidth="1"/>
    <col min="38" max="38" width="13.42578125" bestFit="1" customWidth="1"/>
    <col min="39" max="39" width="12.7109375" bestFit="1" customWidth="1"/>
    <col min="40" max="40" width="11.42578125" bestFit="1" customWidth="1"/>
    <col min="41" max="41" width="13.42578125" bestFit="1" customWidth="1"/>
    <col min="42" max="42" width="12.140625" bestFit="1" customWidth="1"/>
    <col min="43" max="43" width="11.5703125" bestFit="1" customWidth="1"/>
    <col min="44" max="44" width="11.85546875" bestFit="1" customWidth="1"/>
    <col min="45" max="45" width="12" bestFit="1" customWidth="1"/>
    <col min="46" max="46" width="12.140625" bestFit="1" customWidth="1"/>
    <col min="47" max="47" width="12.28515625" bestFit="1" customWidth="1"/>
    <col min="48" max="48" width="10.85546875" bestFit="1" customWidth="1"/>
    <col min="49" max="49" width="12.7109375" bestFit="1" customWidth="1"/>
    <col min="50" max="50" width="11" bestFit="1" customWidth="1"/>
    <col min="51" max="51" width="11.42578125" bestFit="1" customWidth="1"/>
    <col min="52" max="52" width="12.7109375" bestFit="1" customWidth="1"/>
    <col min="53" max="53" width="13.28515625" bestFit="1" customWidth="1"/>
    <col min="54" max="54" width="13.5703125" bestFit="1" customWidth="1"/>
    <col min="55" max="55" width="12.140625" bestFit="1" customWidth="1"/>
    <col min="56" max="56" width="12" bestFit="1" customWidth="1"/>
    <col min="57" max="57" width="11.42578125" bestFit="1" customWidth="1"/>
    <col min="58" max="58" width="12.140625" bestFit="1" customWidth="1"/>
    <col min="59" max="59" width="12.7109375" bestFit="1" customWidth="1"/>
    <col min="60" max="61" width="13.140625" bestFit="1" customWidth="1"/>
    <col min="62" max="62" width="11.7109375" bestFit="1" customWidth="1"/>
    <col min="63" max="63" width="11.85546875" bestFit="1" customWidth="1"/>
    <col min="64" max="65" width="12.42578125" bestFit="1" customWidth="1"/>
    <col min="66" max="66" width="12.28515625" bestFit="1" customWidth="1"/>
    <col min="67" max="67" width="11.5703125" bestFit="1" customWidth="1"/>
    <col min="68" max="68" width="11" bestFit="1" customWidth="1"/>
    <col min="69" max="69" width="12" bestFit="1" customWidth="1"/>
    <col min="70" max="70" width="12.28515625" bestFit="1" customWidth="1"/>
    <col min="71" max="71" width="12.5703125" bestFit="1" customWidth="1"/>
    <col min="72" max="72" width="12.7109375" bestFit="1" customWidth="1"/>
    <col min="73" max="73" width="13.42578125" bestFit="1" customWidth="1"/>
    <col min="74" max="74" width="12.5703125" bestFit="1" customWidth="1"/>
    <col min="75" max="75" width="12.140625" bestFit="1" customWidth="1"/>
    <col min="76" max="76" width="11.85546875" bestFit="1" customWidth="1"/>
    <col min="77" max="77" width="11.7109375" bestFit="1" customWidth="1"/>
    <col min="78" max="78" width="12.42578125" bestFit="1" customWidth="1"/>
    <col min="79" max="79" width="12.7109375" bestFit="1" customWidth="1"/>
    <col min="80" max="80" width="12.140625" bestFit="1" customWidth="1"/>
    <col min="81" max="81" width="11.42578125" bestFit="1" customWidth="1"/>
    <col min="82" max="82" width="11.140625" bestFit="1" customWidth="1"/>
    <col min="83" max="83" width="11.7109375" bestFit="1" customWidth="1"/>
    <col min="84" max="84" width="12.42578125" bestFit="1" customWidth="1"/>
    <col min="85" max="85" width="11.28515625" bestFit="1" customWidth="1"/>
    <col min="86" max="86" width="12.85546875" bestFit="1" customWidth="1"/>
    <col min="87" max="87" width="12.5703125" bestFit="1" customWidth="1"/>
    <col min="88" max="88" width="14.42578125" bestFit="1" customWidth="1"/>
    <col min="89" max="89" width="12.7109375" bestFit="1" customWidth="1"/>
    <col min="90" max="90" width="12" bestFit="1" customWidth="1"/>
    <col min="91" max="91" width="12.85546875" bestFit="1" customWidth="1"/>
    <col min="92" max="92" width="12.28515625" bestFit="1" customWidth="1"/>
    <col min="93" max="93" width="11.7109375" bestFit="1" customWidth="1"/>
    <col min="94" max="94" width="12.140625" bestFit="1" customWidth="1"/>
    <col min="95" max="95" width="12.42578125" bestFit="1" customWidth="1"/>
    <col min="96" max="96" width="13.42578125" bestFit="1" customWidth="1"/>
    <col min="97" max="97" width="13.85546875" bestFit="1" customWidth="1"/>
    <col min="98" max="98" width="14" bestFit="1" customWidth="1"/>
    <col min="99" max="99" width="14.5703125" bestFit="1" customWidth="1"/>
    <col min="100" max="100" width="12.5703125" bestFit="1" customWidth="1"/>
    <col min="101" max="101" width="11.85546875" bestFit="1" customWidth="1"/>
    <col min="102" max="102" width="13.140625" bestFit="1" customWidth="1"/>
    <col min="103" max="103" width="11.7109375" bestFit="1" customWidth="1"/>
    <col min="104" max="104" width="12.140625" bestFit="1" customWidth="1"/>
    <col min="105" max="105" width="11.7109375" bestFit="1" customWidth="1"/>
    <col min="106" max="106" width="11.5703125" bestFit="1" customWidth="1"/>
    <col min="107" max="107" width="11.28515625" bestFit="1" customWidth="1"/>
    <col min="108" max="108" width="12" bestFit="1" customWidth="1"/>
    <col min="109" max="109" width="13.5703125" bestFit="1" customWidth="1"/>
    <col min="110" max="110" width="11.140625" bestFit="1" customWidth="1"/>
    <col min="111" max="111" width="11.5703125" bestFit="1" customWidth="1"/>
    <col min="112" max="112" width="11.140625" bestFit="1" customWidth="1"/>
    <col min="113" max="113" width="11.42578125" bestFit="1" customWidth="1"/>
    <col min="114" max="115" width="12.28515625" bestFit="1" customWidth="1"/>
    <col min="116" max="116" width="12.7109375" bestFit="1" customWidth="1"/>
    <col min="117" max="117" width="10.42578125" bestFit="1" customWidth="1"/>
    <col min="118" max="118" width="13.5703125" bestFit="1" customWidth="1"/>
    <col min="119" max="119" width="12" bestFit="1" customWidth="1"/>
    <col min="120" max="120" width="12.85546875" bestFit="1" customWidth="1"/>
    <col min="121" max="121" width="12" bestFit="1" customWidth="1"/>
    <col min="122" max="122" width="12.85546875" bestFit="1" customWidth="1"/>
    <col min="123" max="123" width="13.42578125" bestFit="1" customWidth="1"/>
    <col min="124" max="124" width="12.28515625" bestFit="1" customWidth="1"/>
    <col min="125" max="125" width="11.85546875" bestFit="1" customWidth="1"/>
    <col min="126" max="126" width="12.5703125" bestFit="1" customWidth="1"/>
    <col min="127" max="127" width="12.85546875" bestFit="1" customWidth="1"/>
    <col min="128" max="128" width="12.7109375" bestFit="1" customWidth="1"/>
    <col min="129" max="129" width="12" bestFit="1" customWidth="1"/>
    <col min="130" max="130" width="11.85546875" bestFit="1" customWidth="1"/>
    <col min="131" max="131" width="12.42578125" bestFit="1" customWidth="1"/>
    <col min="132" max="132" width="12.140625" bestFit="1" customWidth="1"/>
    <col min="133" max="133" width="12.42578125" bestFit="1" customWidth="1"/>
    <col min="134" max="134" width="12.7109375" bestFit="1" customWidth="1"/>
    <col min="135" max="135" width="11.85546875" bestFit="1" customWidth="1"/>
    <col min="136" max="137" width="11.5703125" bestFit="1" customWidth="1"/>
    <col min="138" max="138" width="11.42578125" bestFit="1" customWidth="1"/>
    <col min="139" max="140" width="11" bestFit="1" customWidth="1"/>
    <col min="141" max="141" width="11.7109375" bestFit="1" customWidth="1"/>
    <col min="142" max="142" width="12.28515625" bestFit="1" customWidth="1"/>
    <col min="143" max="143" width="12.85546875" bestFit="1" customWidth="1"/>
    <col min="144" max="144" width="14.5703125" bestFit="1" customWidth="1"/>
    <col min="145" max="145" width="12.28515625" bestFit="1" customWidth="1"/>
    <col min="146" max="146" width="11.5703125" bestFit="1" customWidth="1"/>
    <col min="147" max="147" width="11.140625" bestFit="1" customWidth="1"/>
    <col min="148" max="148" width="12.42578125" bestFit="1" customWidth="1"/>
    <col min="149" max="149" width="12.7109375" bestFit="1" customWidth="1"/>
    <col min="150" max="150" width="12.28515625" bestFit="1" customWidth="1"/>
    <col min="151" max="151" width="12.140625" bestFit="1" customWidth="1"/>
    <col min="152" max="152" width="11.28515625" bestFit="1" customWidth="1"/>
    <col min="153" max="153" width="11.7109375" bestFit="1" customWidth="1"/>
    <col min="154" max="154" width="12" bestFit="1" customWidth="1"/>
    <col min="155" max="155" width="11" bestFit="1" customWidth="1"/>
    <col min="156" max="156" width="11.85546875" bestFit="1" customWidth="1"/>
    <col min="157" max="157" width="11.42578125" bestFit="1" customWidth="1"/>
    <col min="158" max="158" width="11.85546875" bestFit="1" customWidth="1"/>
    <col min="159" max="159" width="12.7109375" bestFit="1" customWidth="1"/>
    <col min="160" max="160" width="11.28515625" bestFit="1" customWidth="1"/>
    <col min="161" max="161" width="11.5703125" bestFit="1" customWidth="1"/>
    <col min="162" max="162" width="12.85546875" bestFit="1" customWidth="1"/>
    <col min="163" max="163" width="12" bestFit="1" customWidth="1"/>
    <col min="164" max="164" width="12.5703125" bestFit="1" customWidth="1"/>
    <col min="165" max="165" width="11.42578125" bestFit="1" customWidth="1"/>
    <col min="166" max="166" width="13.5703125" bestFit="1" customWidth="1"/>
    <col min="167" max="167" width="12.5703125" bestFit="1" customWidth="1"/>
    <col min="168" max="168" width="11.140625" bestFit="1" customWidth="1"/>
    <col min="169" max="169" width="11.85546875" bestFit="1" customWidth="1"/>
    <col min="170" max="170" width="12" bestFit="1" customWidth="1"/>
    <col min="171" max="171" width="10.7109375" bestFit="1" customWidth="1"/>
    <col min="172" max="173" width="12" bestFit="1" customWidth="1"/>
    <col min="174" max="174" width="13.85546875" bestFit="1" customWidth="1"/>
    <col min="175" max="175" width="12.42578125" bestFit="1" customWidth="1"/>
    <col min="176" max="176" width="13.140625" bestFit="1" customWidth="1"/>
    <col min="177" max="177" width="12.140625" bestFit="1" customWidth="1"/>
    <col min="178" max="178" width="12.5703125" bestFit="1" customWidth="1"/>
    <col min="179" max="179" width="10.7109375" bestFit="1" customWidth="1"/>
    <col min="180" max="180" width="11.5703125" bestFit="1" customWidth="1"/>
    <col min="181" max="181" width="11.28515625" bestFit="1" customWidth="1"/>
    <col min="182" max="182" width="12" bestFit="1" customWidth="1"/>
    <col min="183" max="183" width="12.7109375" bestFit="1" customWidth="1"/>
    <col min="184" max="184" width="11" bestFit="1" customWidth="1"/>
    <col min="185" max="185" width="10.5703125" bestFit="1" customWidth="1"/>
    <col min="186" max="186" width="11.5703125" bestFit="1" customWidth="1"/>
    <col min="187" max="187" width="12.42578125" bestFit="1" customWidth="1"/>
    <col min="188" max="188" width="12.28515625" bestFit="1" customWidth="1"/>
    <col min="189" max="189" width="11.85546875" bestFit="1" customWidth="1"/>
    <col min="190" max="190" width="11.140625" bestFit="1" customWidth="1"/>
    <col min="191" max="191" width="12.85546875" bestFit="1" customWidth="1"/>
    <col min="192" max="192" width="13.28515625" bestFit="1" customWidth="1"/>
    <col min="193" max="193" width="12.85546875" bestFit="1" customWidth="1"/>
    <col min="194" max="194" width="12.42578125" bestFit="1" customWidth="1"/>
    <col min="195" max="195" width="10.85546875" bestFit="1" customWidth="1"/>
    <col min="196" max="197" width="11.7109375" bestFit="1" customWidth="1"/>
    <col min="198" max="198" width="12.7109375" bestFit="1" customWidth="1"/>
    <col min="199" max="199" width="13.28515625" bestFit="1" customWidth="1"/>
    <col min="200" max="200" width="12.140625" bestFit="1" customWidth="1"/>
    <col min="201" max="201" width="13.42578125" bestFit="1" customWidth="1"/>
    <col min="202" max="202" width="11.7109375" bestFit="1" customWidth="1"/>
    <col min="203" max="203" width="13.140625" bestFit="1" customWidth="1"/>
    <col min="204" max="204" width="13.28515625" bestFit="1" customWidth="1"/>
    <col min="205" max="205" width="11.28515625" bestFit="1" customWidth="1"/>
    <col min="206" max="207" width="13.140625" bestFit="1" customWidth="1"/>
    <col min="208" max="208" width="12.28515625" bestFit="1" customWidth="1"/>
    <col min="209" max="209" width="14.28515625" bestFit="1" customWidth="1"/>
    <col min="210" max="210" width="14" bestFit="1" customWidth="1"/>
    <col min="211" max="211" width="13.5703125" bestFit="1" customWidth="1"/>
    <col min="212" max="212" width="12.28515625" bestFit="1" customWidth="1"/>
    <col min="213" max="213" width="11.7109375" bestFit="1" customWidth="1"/>
    <col min="214" max="214" width="11.28515625" bestFit="1" customWidth="1"/>
    <col min="215" max="215" width="12.140625" bestFit="1" customWidth="1"/>
    <col min="216" max="216" width="12.5703125" bestFit="1" customWidth="1"/>
    <col min="217" max="217" width="12.140625" bestFit="1" customWidth="1"/>
    <col min="218" max="218" width="12.85546875" bestFit="1" customWidth="1"/>
    <col min="219" max="219" width="12.5703125" bestFit="1" customWidth="1"/>
    <col min="220" max="220" width="12.28515625" bestFit="1" customWidth="1"/>
    <col min="221" max="221" width="13.28515625" bestFit="1" customWidth="1"/>
    <col min="222" max="222" width="12.85546875" bestFit="1" customWidth="1"/>
    <col min="223" max="223" width="13.140625" bestFit="1" customWidth="1"/>
    <col min="224" max="224" width="11.85546875" bestFit="1" customWidth="1"/>
    <col min="225" max="225" width="11.42578125" bestFit="1" customWidth="1"/>
    <col min="226" max="226" width="11.28515625" bestFit="1" customWidth="1"/>
    <col min="227" max="228" width="11.7109375" bestFit="1" customWidth="1"/>
    <col min="229" max="229" width="12" bestFit="1" customWidth="1"/>
    <col min="230" max="230" width="12.28515625" bestFit="1" customWidth="1"/>
    <col min="231" max="231" width="12.85546875" bestFit="1" customWidth="1"/>
    <col min="232" max="232" width="12.42578125" bestFit="1" customWidth="1"/>
    <col min="233" max="233" width="13.28515625" bestFit="1" customWidth="1"/>
    <col min="234" max="234" width="12.28515625" bestFit="1" customWidth="1"/>
    <col min="235" max="235" width="12.140625" bestFit="1" customWidth="1"/>
    <col min="236" max="236" width="12" bestFit="1" customWidth="1"/>
    <col min="237" max="237" width="12.140625" bestFit="1" customWidth="1"/>
    <col min="238" max="238" width="13.140625" bestFit="1" customWidth="1"/>
    <col min="239" max="240" width="11.85546875" bestFit="1" customWidth="1"/>
    <col min="241" max="241" width="13.42578125" bestFit="1" customWidth="1"/>
    <col min="242" max="242" width="11.85546875" bestFit="1" customWidth="1"/>
    <col min="243" max="243" width="13.5703125" bestFit="1" customWidth="1"/>
    <col min="244" max="244" width="11.140625" bestFit="1" customWidth="1"/>
    <col min="245" max="245" width="12.42578125" bestFit="1" customWidth="1"/>
    <col min="246" max="246" width="11.7109375" bestFit="1" customWidth="1"/>
    <col min="247" max="247" width="11.85546875" bestFit="1" customWidth="1"/>
    <col min="248" max="248" width="11.42578125" bestFit="1" customWidth="1"/>
    <col min="249" max="249" width="12.42578125" bestFit="1" customWidth="1"/>
    <col min="250" max="251" width="11.5703125" bestFit="1" customWidth="1"/>
    <col min="252" max="252" width="12.42578125" bestFit="1" customWidth="1"/>
    <col min="253" max="253" width="11.7109375" bestFit="1" customWidth="1"/>
    <col min="254" max="254" width="12.5703125" bestFit="1" customWidth="1"/>
    <col min="255" max="255" width="11.140625" bestFit="1" customWidth="1"/>
    <col min="256" max="256" width="12.42578125" bestFit="1" customWidth="1"/>
    <col min="257" max="257" width="11.85546875" bestFit="1" customWidth="1"/>
    <col min="258" max="258" width="11.5703125" bestFit="1" customWidth="1"/>
    <col min="259" max="259" width="12" bestFit="1" customWidth="1"/>
    <col min="260" max="260" width="12.140625" bestFit="1" customWidth="1"/>
    <col min="261" max="262" width="11.5703125" bestFit="1" customWidth="1"/>
    <col min="263" max="263" width="11.7109375" bestFit="1" customWidth="1"/>
    <col min="264" max="264" width="10.85546875" bestFit="1" customWidth="1"/>
    <col min="265" max="265" width="11.5703125" bestFit="1" customWidth="1"/>
    <col min="266" max="266" width="12" bestFit="1" customWidth="1"/>
    <col min="267" max="267" width="12.140625" bestFit="1" customWidth="1"/>
    <col min="268" max="268" width="11.7109375" bestFit="1" customWidth="1"/>
    <col min="269" max="269" width="11.28515625" bestFit="1" customWidth="1"/>
    <col min="270" max="270" width="11.140625" bestFit="1" customWidth="1"/>
    <col min="271" max="271" width="11" bestFit="1" customWidth="1"/>
    <col min="272" max="272" width="13.140625" bestFit="1" customWidth="1"/>
    <col min="273" max="273" width="11.7109375" bestFit="1" customWidth="1"/>
    <col min="274" max="274" width="11.85546875" bestFit="1" customWidth="1"/>
    <col min="275" max="275" width="13.42578125" bestFit="1" customWidth="1"/>
    <col min="276" max="277" width="11.42578125" bestFit="1" customWidth="1"/>
    <col min="278" max="278" width="12.42578125" bestFit="1" customWidth="1"/>
    <col min="279" max="279" width="11.85546875" bestFit="1" customWidth="1"/>
    <col min="280" max="280" width="11.140625" bestFit="1" customWidth="1"/>
    <col min="281" max="281" width="10.85546875" bestFit="1" customWidth="1"/>
    <col min="282" max="282" width="11.140625" bestFit="1" customWidth="1"/>
    <col min="283" max="283" width="12" bestFit="1" customWidth="1"/>
    <col min="284" max="284" width="11.140625" bestFit="1" customWidth="1"/>
    <col min="285" max="287" width="11.85546875" bestFit="1" customWidth="1"/>
    <col min="288" max="288" width="12.140625" bestFit="1" customWidth="1"/>
    <col min="289" max="289" width="11.85546875" bestFit="1" customWidth="1"/>
    <col min="290" max="290" width="11.7109375" bestFit="1" customWidth="1"/>
    <col min="291" max="291" width="13.140625" bestFit="1" customWidth="1"/>
    <col min="292" max="292" width="12.5703125" bestFit="1" customWidth="1"/>
    <col min="293" max="293" width="13.140625" bestFit="1" customWidth="1"/>
    <col min="294" max="294" width="12.140625" bestFit="1" customWidth="1"/>
    <col min="295" max="295" width="12" bestFit="1" customWidth="1"/>
    <col min="296" max="296" width="12.140625" bestFit="1" customWidth="1"/>
    <col min="297" max="297" width="12.28515625" bestFit="1" customWidth="1"/>
    <col min="298" max="298" width="11.7109375" bestFit="1" customWidth="1"/>
    <col min="299" max="299" width="12" bestFit="1" customWidth="1"/>
    <col min="300" max="300" width="11.7109375" bestFit="1" customWidth="1"/>
    <col min="301" max="301" width="11.85546875" bestFit="1" customWidth="1"/>
    <col min="302" max="302" width="12.7109375" bestFit="1" customWidth="1"/>
    <col min="303" max="303" width="13.28515625" bestFit="1" customWidth="1"/>
    <col min="304" max="304" width="11.85546875" bestFit="1" customWidth="1"/>
    <col min="305" max="305" width="12.140625" bestFit="1" customWidth="1"/>
    <col min="306" max="307" width="11.140625" bestFit="1" customWidth="1"/>
    <col min="308" max="308" width="12.42578125" bestFit="1" customWidth="1"/>
    <col min="309" max="309" width="11.5703125" bestFit="1" customWidth="1"/>
    <col min="310" max="310" width="12.28515625" bestFit="1" customWidth="1"/>
    <col min="311" max="311" width="11.7109375" bestFit="1" customWidth="1"/>
    <col min="312" max="313" width="11.85546875" bestFit="1" customWidth="1"/>
    <col min="314" max="314" width="11.7109375" bestFit="1" customWidth="1"/>
    <col min="315" max="315" width="11.42578125" bestFit="1" customWidth="1"/>
    <col min="316" max="316" width="11.7109375" bestFit="1" customWidth="1"/>
    <col min="317" max="317" width="14" bestFit="1" customWidth="1"/>
    <col min="318" max="318" width="12.140625" bestFit="1" customWidth="1"/>
    <col min="319" max="319" width="13.42578125" bestFit="1" customWidth="1"/>
    <col min="320" max="320" width="12.28515625" bestFit="1" customWidth="1"/>
    <col min="321" max="321" width="12.5703125" bestFit="1" customWidth="1"/>
    <col min="322" max="322" width="12.42578125" bestFit="1" customWidth="1"/>
    <col min="323" max="323" width="13.7109375" bestFit="1" customWidth="1"/>
    <col min="324" max="324" width="12.140625" bestFit="1" customWidth="1"/>
    <col min="325" max="326" width="12.5703125" bestFit="1" customWidth="1"/>
    <col min="327" max="327" width="12" bestFit="1" customWidth="1"/>
    <col min="328" max="328" width="13.140625" bestFit="1" customWidth="1"/>
    <col min="329" max="329" width="12.140625" bestFit="1" customWidth="1"/>
    <col min="330" max="330" width="12.7109375" bestFit="1" customWidth="1"/>
    <col min="331" max="332" width="12.5703125" bestFit="1" customWidth="1"/>
    <col min="333" max="333" width="11.7109375" bestFit="1" customWidth="1"/>
    <col min="334" max="335" width="11.85546875" bestFit="1" customWidth="1"/>
    <col min="336" max="336" width="11.28515625" bestFit="1" customWidth="1"/>
    <col min="337" max="337" width="11" bestFit="1" customWidth="1"/>
    <col min="338" max="338" width="13.140625" bestFit="1" customWidth="1"/>
    <col min="339" max="339" width="12.5703125" bestFit="1" customWidth="1"/>
    <col min="340" max="340" width="11.5703125" bestFit="1" customWidth="1"/>
    <col min="341" max="341" width="12.85546875" bestFit="1" customWidth="1"/>
    <col min="342" max="342" width="11.140625" bestFit="1" customWidth="1"/>
    <col min="343" max="343" width="11.5703125" bestFit="1" customWidth="1"/>
    <col min="344" max="344" width="10.7109375" bestFit="1" customWidth="1"/>
    <col min="345" max="345" width="11.42578125" bestFit="1" customWidth="1"/>
    <col min="346" max="346" width="11.85546875" bestFit="1" customWidth="1"/>
    <col min="347" max="347" width="12.42578125" bestFit="1" customWidth="1"/>
    <col min="348" max="348" width="11.85546875" bestFit="1" customWidth="1"/>
    <col min="349" max="349" width="11.42578125" bestFit="1" customWidth="1"/>
    <col min="350" max="350" width="11.85546875" bestFit="1" customWidth="1"/>
    <col min="351" max="351" width="11.7109375" bestFit="1" customWidth="1"/>
    <col min="352" max="352" width="12.7109375" bestFit="1" customWidth="1"/>
    <col min="353" max="354" width="12.42578125" bestFit="1" customWidth="1"/>
    <col min="355" max="355" width="12" bestFit="1" customWidth="1"/>
    <col min="356" max="356" width="12.42578125" bestFit="1" customWidth="1"/>
    <col min="357" max="357" width="12.28515625" bestFit="1" customWidth="1"/>
    <col min="358" max="359" width="12.42578125" bestFit="1" customWidth="1"/>
    <col min="360" max="360" width="11.28515625" bestFit="1" customWidth="1"/>
    <col min="361" max="361" width="12.140625" bestFit="1" customWidth="1"/>
    <col min="362" max="362" width="11.42578125" bestFit="1" customWidth="1"/>
    <col min="363" max="363" width="11.7109375" bestFit="1" customWidth="1"/>
    <col min="364" max="364" width="12.42578125" bestFit="1" customWidth="1"/>
    <col min="365" max="365" width="12.28515625" bestFit="1" customWidth="1"/>
    <col min="366" max="367" width="11.42578125" bestFit="1" customWidth="1"/>
    <col min="368" max="368" width="12.5703125" bestFit="1" customWidth="1"/>
    <col min="369" max="369" width="12.28515625" bestFit="1" customWidth="1"/>
    <col min="370" max="370" width="11.85546875" bestFit="1" customWidth="1"/>
    <col min="371" max="371" width="11.140625" bestFit="1" customWidth="1"/>
    <col min="372" max="372" width="12.42578125" bestFit="1" customWidth="1"/>
    <col min="373" max="373" width="14.7109375" bestFit="1" customWidth="1"/>
    <col min="374" max="374" width="13.5703125" bestFit="1" customWidth="1"/>
    <col min="375" max="375" width="13.85546875" bestFit="1" customWidth="1"/>
    <col min="376" max="376" width="13.28515625" bestFit="1" customWidth="1"/>
    <col min="377" max="377" width="12.85546875" bestFit="1" customWidth="1"/>
    <col min="378" max="378" width="13.5703125" bestFit="1" customWidth="1"/>
    <col min="379" max="379" width="11.42578125" bestFit="1" customWidth="1"/>
    <col min="380" max="380" width="13.28515625" bestFit="1" customWidth="1"/>
    <col min="381" max="381" width="11.85546875" bestFit="1" customWidth="1"/>
    <col min="382" max="382" width="13.28515625" bestFit="1" customWidth="1"/>
    <col min="383" max="383" width="12.28515625" bestFit="1" customWidth="1"/>
    <col min="384" max="384" width="12.42578125" bestFit="1" customWidth="1"/>
    <col min="385" max="385" width="12.140625" bestFit="1" customWidth="1"/>
    <col min="386" max="386" width="13.28515625" bestFit="1" customWidth="1"/>
    <col min="387" max="387" width="11.42578125" bestFit="1" customWidth="1"/>
    <col min="388" max="388" width="12.140625" bestFit="1" customWidth="1"/>
    <col min="389" max="389" width="11.7109375" bestFit="1" customWidth="1"/>
    <col min="390" max="391" width="12" bestFit="1" customWidth="1"/>
    <col min="392" max="392" width="11.5703125" bestFit="1" customWidth="1"/>
    <col min="393" max="393" width="11.42578125" bestFit="1" customWidth="1"/>
    <col min="394" max="394" width="12.28515625" bestFit="1" customWidth="1"/>
    <col min="395" max="395" width="12.42578125" bestFit="1" customWidth="1"/>
    <col min="396" max="396" width="12.140625" bestFit="1" customWidth="1"/>
    <col min="397" max="397" width="13.42578125" bestFit="1" customWidth="1"/>
    <col min="398" max="398" width="12.5703125" bestFit="1" customWidth="1"/>
    <col min="399" max="399" width="12.42578125" bestFit="1" customWidth="1"/>
    <col min="400" max="400" width="14" bestFit="1" customWidth="1"/>
    <col min="401" max="401" width="11.7109375" bestFit="1" customWidth="1"/>
    <col min="402" max="402" width="11.5703125" bestFit="1" customWidth="1"/>
    <col min="403" max="403" width="12.28515625" bestFit="1" customWidth="1"/>
    <col min="404" max="404" width="12.7109375" bestFit="1" customWidth="1"/>
    <col min="405" max="405" width="11.5703125" bestFit="1" customWidth="1"/>
    <col min="406" max="406" width="12.85546875" bestFit="1" customWidth="1"/>
    <col min="407" max="407" width="12" bestFit="1" customWidth="1"/>
    <col min="408" max="408" width="12.5703125" bestFit="1" customWidth="1"/>
    <col min="409" max="409" width="12.7109375" bestFit="1" customWidth="1"/>
    <col min="410" max="410" width="11.42578125" bestFit="1" customWidth="1"/>
    <col min="411" max="412" width="12.28515625" bestFit="1" customWidth="1"/>
    <col min="413" max="413" width="11.28515625" bestFit="1" customWidth="1"/>
    <col min="414" max="415" width="12.140625" bestFit="1" customWidth="1"/>
    <col min="416" max="416" width="12.7109375" bestFit="1" customWidth="1"/>
    <col min="417" max="417" width="12.5703125" bestFit="1" customWidth="1"/>
    <col min="418" max="418" width="12.28515625" bestFit="1" customWidth="1"/>
    <col min="419" max="419" width="11.7109375" bestFit="1" customWidth="1"/>
    <col min="420" max="420" width="11.85546875" bestFit="1" customWidth="1"/>
    <col min="421" max="422" width="12" bestFit="1" customWidth="1"/>
    <col min="423" max="423" width="11.7109375" bestFit="1" customWidth="1"/>
    <col min="424" max="424" width="11.85546875" bestFit="1" customWidth="1"/>
    <col min="425" max="425" width="12.140625" bestFit="1" customWidth="1"/>
    <col min="426" max="426" width="12.7109375" bestFit="1" customWidth="1"/>
    <col min="427" max="427" width="11.7109375" bestFit="1" customWidth="1"/>
    <col min="428" max="428" width="12.140625" bestFit="1" customWidth="1"/>
    <col min="429" max="429" width="11.85546875" bestFit="1" customWidth="1"/>
    <col min="430" max="430" width="12.28515625" bestFit="1" customWidth="1"/>
    <col min="431" max="431" width="13.140625" bestFit="1" customWidth="1"/>
    <col min="432" max="432" width="11.28515625" bestFit="1" customWidth="1"/>
    <col min="433" max="433" width="12.140625" bestFit="1" customWidth="1"/>
    <col min="434" max="434" width="12.42578125" bestFit="1" customWidth="1"/>
    <col min="435" max="435" width="12" bestFit="1" customWidth="1"/>
    <col min="436" max="436" width="13.140625" bestFit="1" customWidth="1"/>
    <col min="437" max="439" width="11.7109375" bestFit="1" customWidth="1"/>
    <col min="440" max="440" width="12" bestFit="1" customWidth="1"/>
    <col min="441" max="441" width="13.42578125" bestFit="1" customWidth="1"/>
    <col min="442" max="443" width="12.85546875" bestFit="1" customWidth="1"/>
    <col min="444" max="444" width="13.7109375" bestFit="1" customWidth="1"/>
    <col min="445" max="445" width="12.5703125" bestFit="1" customWidth="1"/>
    <col min="446" max="446" width="12.42578125" bestFit="1" customWidth="1"/>
    <col min="447" max="448" width="12.5703125" bestFit="1" customWidth="1"/>
    <col min="449" max="449" width="13.140625" bestFit="1" customWidth="1"/>
    <col min="450" max="450" width="13.5703125" bestFit="1" customWidth="1"/>
    <col min="451" max="451" width="14.5703125" bestFit="1" customWidth="1"/>
    <col min="452" max="452" width="14.28515625" bestFit="1" customWidth="1"/>
    <col min="453" max="453" width="15.42578125" bestFit="1" customWidth="1"/>
    <col min="454" max="454" width="13.28515625" bestFit="1" customWidth="1"/>
    <col min="455" max="455" width="14" bestFit="1" customWidth="1"/>
    <col min="456" max="457" width="12.85546875" bestFit="1" customWidth="1"/>
    <col min="458" max="458" width="14" bestFit="1" customWidth="1"/>
    <col min="459" max="459" width="13.42578125" bestFit="1" customWidth="1"/>
    <col min="460" max="460" width="12.140625" bestFit="1" customWidth="1"/>
    <col min="461" max="461" width="12.42578125" bestFit="1" customWidth="1"/>
    <col min="462" max="462" width="14" bestFit="1" customWidth="1"/>
    <col min="463" max="464" width="12.5703125" bestFit="1" customWidth="1"/>
    <col min="465" max="465" width="13.85546875" bestFit="1" customWidth="1"/>
    <col min="466" max="466" width="14.28515625" bestFit="1" customWidth="1"/>
    <col min="467" max="467" width="13.28515625" bestFit="1" customWidth="1"/>
    <col min="468" max="468" width="14.42578125" bestFit="1" customWidth="1"/>
    <col min="469" max="469" width="11.28515625" bestFit="1" customWidth="1"/>
    <col min="470" max="470" width="11.42578125" bestFit="1" customWidth="1"/>
    <col min="471" max="471" width="12.7109375" bestFit="1" customWidth="1"/>
    <col min="472" max="472" width="13.140625" bestFit="1" customWidth="1"/>
    <col min="473" max="473" width="11.42578125" bestFit="1" customWidth="1"/>
    <col min="474" max="474" width="11.7109375" bestFit="1" customWidth="1"/>
    <col min="475" max="475" width="12" bestFit="1" customWidth="1"/>
    <col min="476" max="476" width="12.7109375" bestFit="1" customWidth="1"/>
    <col min="477" max="477" width="12.140625" bestFit="1" customWidth="1"/>
    <col min="478" max="478" width="11.7109375" bestFit="1" customWidth="1"/>
    <col min="479" max="479" width="12.42578125" bestFit="1" customWidth="1"/>
    <col min="480" max="480" width="12" bestFit="1" customWidth="1"/>
    <col min="481" max="481" width="13.85546875" bestFit="1" customWidth="1"/>
    <col min="482" max="482" width="11.5703125" bestFit="1" customWidth="1"/>
    <col min="483" max="483" width="13.7109375" bestFit="1" customWidth="1"/>
    <col min="484" max="484" width="12.28515625" bestFit="1" customWidth="1"/>
    <col min="485" max="485" width="12.42578125" bestFit="1" customWidth="1"/>
    <col min="486" max="486" width="11.28515625" bestFit="1" customWidth="1"/>
    <col min="487" max="487" width="11" bestFit="1" customWidth="1"/>
    <col min="488" max="488" width="12.28515625" bestFit="1" customWidth="1"/>
    <col min="489" max="489" width="12.42578125" bestFit="1" customWidth="1"/>
    <col min="490" max="490" width="11.85546875" bestFit="1" customWidth="1"/>
    <col min="491" max="491" width="12.140625" bestFit="1" customWidth="1"/>
    <col min="492" max="493" width="11.7109375" bestFit="1" customWidth="1"/>
    <col min="494" max="494" width="11.140625" bestFit="1" customWidth="1"/>
    <col min="495" max="495" width="11.42578125" bestFit="1" customWidth="1"/>
    <col min="496" max="496" width="12.42578125" bestFit="1" customWidth="1"/>
    <col min="497" max="497" width="11.28515625" bestFit="1" customWidth="1"/>
    <col min="498" max="498" width="11.7109375" bestFit="1" customWidth="1"/>
    <col min="499" max="499" width="12" bestFit="1" customWidth="1"/>
    <col min="500" max="500" width="11.7109375" bestFit="1" customWidth="1"/>
    <col min="501" max="501" width="11.85546875" bestFit="1" customWidth="1"/>
    <col min="502" max="503" width="11.140625" bestFit="1" customWidth="1"/>
    <col min="504" max="504" width="11.42578125" bestFit="1" customWidth="1"/>
    <col min="505" max="505" width="11.5703125" bestFit="1" customWidth="1"/>
    <col min="506" max="506" width="11.42578125" bestFit="1" customWidth="1"/>
    <col min="507" max="507" width="10.85546875" bestFit="1" customWidth="1"/>
    <col min="508" max="509" width="12.28515625" bestFit="1" customWidth="1"/>
    <col min="510" max="511" width="12.85546875" bestFit="1" customWidth="1"/>
    <col min="512" max="512" width="11" bestFit="1" customWidth="1"/>
    <col min="513" max="514" width="11.5703125" bestFit="1" customWidth="1"/>
    <col min="515" max="515" width="12.7109375" bestFit="1" customWidth="1"/>
    <col min="516" max="516" width="11.42578125" bestFit="1" customWidth="1"/>
    <col min="517" max="517" width="11.5703125" bestFit="1" customWidth="1"/>
    <col min="518" max="518" width="12.28515625" bestFit="1" customWidth="1"/>
    <col min="519" max="519" width="11.42578125" bestFit="1" customWidth="1"/>
    <col min="520" max="521" width="11.7109375" bestFit="1" customWidth="1"/>
    <col min="522" max="522" width="11.5703125" bestFit="1" customWidth="1"/>
    <col min="523" max="523" width="12.7109375" bestFit="1" customWidth="1"/>
    <col min="524" max="524" width="11.42578125" bestFit="1" customWidth="1"/>
    <col min="525" max="525" width="11.28515625" bestFit="1" customWidth="1"/>
    <col min="526" max="527" width="12.42578125" bestFit="1" customWidth="1"/>
    <col min="528" max="528" width="11.28515625" bestFit="1" customWidth="1"/>
    <col min="529" max="529" width="13.5703125" bestFit="1" customWidth="1"/>
    <col min="530" max="530" width="12.5703125" bestFit="1" customWidth="1"/>
    <col min="531" max="531" width="12.140625" bestFit="1" customWidth="1"/>
    <col min="532" max="533" width="11.28515625" bestFit="1" customWidth="1"/>
    <col min="534" max="534" width="12.5703125" bestFit="1" customWidth="1"/>
    <col min="535" max="535" width="11.85546875" bestFit="1" customWidth="1"/>
    <col min="536" max="536" width="11" bestFit="1" customWidth="1"/>
    <col min="537" max="537" width="11.5703125" bestFit="1" customWidth="1"/>
    <col min="538" max="538" width="11.85546875" bestFit="1" customWidth="1"/>
    <col min="539" max="539" width="12" bestFit="1" customWidth="1"/>
    <col min="540" max="540" width="12.42578125" bestFit="1" customWidth="1"/>
    <col min="541" max="541" width="11.42578125" bestFit="1" customWidth="1"/>
    <col min="542" max="542" width="11.7109375" bestFit="1" customWidth="1"/>
    <col min="543" max="543" width="12" bestFit="1" customWidth="1"/>
    <col min="544" max="544" width="13.7109375" bestFit="1" customWidth="1"/>
    <col min="545" max="545" width="12.28515625" bestFit="1" customWidth="1"/>
    <col min="546" max="546" width="12.42578125" bestFit="1" customWidth="1"/>
    <col min="547" max="547" width="12.5703125" bestFit="1" customWidth="1"/>
    <col min="548" max="548" width="11.7109375" bestFit="1" customWidth="1"/>
    <col min="549" max="549" width="12.140625" bestFit="1" customWidth="1"/>
    <col min="550" max="550" width="12.42578125" bestFit="1" customWidth="1"/>
    <col min="551" max="551" width="11.42578125" bestFit="1" customWidth="1"/>
    <col min="552" max="552" width="10.7109375" bestFit="1" customWidth="1"/>
    <col min="553" max="553" width="12.85546875" bestFit="1" customWidth="1"/>
    <col min="554" max="554" width="11.28515625" bestFit="1" customWidth="1"/>
    <col min="555" max="555" width="12.85546875" bestFit="1" customWidth="1"/>
    <col min="556" max="556" width="11.42578125" bestFit="1" customWidth="1"/>
    <col min="557" max="557" width="12" bestFit="1" customWidth="1"/>
    <col min="558" max="558" width="12.42578125" bestFit="1" customWidth="1"/>
    <col min="559" max="559" width="11.140625" bestFit="1" customWidth="1"/>
    <col min="560" max="560" width="12.42578125" bestFit="1" customWidth="1"/>
    <col min="561" max="561" width="12.7109375" bestFit="1" customWidth="1"/>
    <col min="562" max="562" width="11.7109375" bestFit="1" customWidth="1"/>
    <col min="563" max="563" width="12.140625" bestFit="1" customWidth="1"/>
    <col min="564" max="564" width="11.85546875" bestFit="1" customWidth="1"/>
    <col min="565" max="565" width="12" bestFit="1" customWidth="1"/>
    <col min="566" max="566" width="12.85546875" bestFit="1" customWidth="1"/>
    <col min="567" max="567" width="13.7109375" bestFit="1" customWidth="1"/>
    <col min="568" max="568" width="11.7109375" bestFit="1" customWidth="1"/>
    <col min="569" max="569" width="10.85546875" bestFit="1" customWidth="1"/>
    <col min="570" max="570" width="11.42578125" bestFit="1" customWidth="1"/>
    <col min="571" max="572" width="11.85546875" bestFit="1" customWidth="1"/>
    <col min="573" max="573" width="11.28515625" bestFit="1" customWidth="1"/>
    <col min="574" max="574" width="12.28515625" bestFit="1" customWidth="1"/>
    <col min="575" max="575" width="12.85546875" bestFit="1" customWidth="1"/>
    <col min="576" max="576" width="12.5703125" bestFit="1" customWidth="1"/>
    <col min="577" max="578" width="11" bestFit="1" customWidth="1"/>
    <col min="579" max="579" width="13.42578125" bestFit="1" customWidth="1"/>
    <col min="580" max="580" width="12.42578125" bestFit="1" customWidth="1"/>
    <col min="581" max="581" width="12.7109375" bestFit="1" customWidth="1"/>
    <col min="582" max="582" width="13.140625" bestFit="1" customWidth="1"/>
    <col min="583" max="583" width="12" bestFit="1" customWidth="1"/>
    <col min="584" max="584" width="13.140625" bestFit="1" customWidth="1"/>
    <col min="585" max="585" width="12.42578125" bestFit="1" customWidth="1"/>
    <col min="586" max="586" width="12" bestFit="1" customWidth="1"/>
    <col min="587" max="587" width="11.5703125" bestFit="1" customWidth="1"/>
    <col min="588" max="588" width="12" bestFit="1" customWidth="1"/>
    <col min="589" max="589" width="12.140625" bestFit="1" customWidth="1"/>
    <col min="590" max="590" width="11.85546875" bestFit="1" customWidth="1"/>
    <col min="591" max="591" width="12.140625" bestFit="1" customWidth="1"/>
    <col min="592" max="592" width="12" bestFit="1" customWidth="1"/>
    <col min="593" max="593" width="12.7109375" bestFit="1" customWidth="1"/>
    <col min="594" max="594" width="11.42578125" bestFit="1" customWidth="1"/>
    <col min="595" max="595" width="13.5703125" bestFit="1" customWidth="1"/>
    <col min="596" max="596" width="12.42578125" bestFit="1" customWidth="1"/>
    <col min="597" max="597" width="12" bestFit="1" customWidth="1"/>
    <col min="598" max="599" width="12.85546875" bestFit="1" customWidth="1"/>
    <col min="600" max="600" width="12.140625" bestFit="1" customWidth="1"/>
    <col min="601" max="601" width="11.28515625" bestFit="1" customWidth="1"/>
    <col min="602" max="602" width="12.28515625" bestFit="1" customWidth="1"/>
    <col min="603" max="603" width="11.42578125" bestFit="1" customWidth="1"/>
    <col min="604" max="604" width="11.7109375" bestFit="1" customWidth="1"/>
    <col min="605" max="605" width="11.85546875" bestFit="1" customWidth="1"/>
    <col min="606" max="606" width="12" bestFit="1" customWidth="1"/>
    <col min="607" max="608" width="12.7109375" bestFit="1" customWidth="1"/>
    <col min="609" max="609" width="12" bestFit="1" customWidth="1"/>
    <col min="610" max="610" width="13.140625" bestFit="1" customWidth="1"/>
    <col min="611" max="611" width="11.5703125" bestFit="1" customWidth="1"/>
    <col min="612" max="612" width="11.7109375" bestFit="1" customWidth="1"/>
    <col min="613" max="613" width="13.28515625" bestFit="1" customWidth="1"/>
    <col min="614" max="614" width="12.28515625" bestFit="1" customWidth="1"/>
    <col min="615" max="616" width="13.140625" bestFit="1" customWidth="1"/>
    <col min="617" max="617" width="12.42578125" bestFit="1" customWidth="1"/>
    <col min="618" max="618" width="11.28515625" bestFit="1" customWidth="1"/>
    <col min="619" max="619" width="11.5703125" bestFit="1" customWidth="1"/>
    <col min="620" max="620" width="12" bestFit="1" customWidth="1"/>
    <col min="621" max="621" width="12.7109375" bestFit="1" customWidth="1"/>
    <col min="622" max="622" width="13.85546875" bestFit="1" customWidth="1"/>
    <col min="623" max="623" width="12.28515625" bestFit="1" customWidth="1"/>
    <col min="624" max="624" width="11.85546875" bestFit="1" customWidth="1"/>
    <col min="625" max="625" width="12.140625" bestFit="1" customWidth="1"/>
    <col min="626" max="626" width="13.28515625" bestFit="1" customWidth="1"/>
    <col min="627" max="627" width="12.42578125" bestFit="1" customWidth="1"/>
    <col min="628" max="628" width="11.85546875" bestFit="1" customWidth="1"/>
    <col min="629" max="630" width="12.140625" bestFit="1" customWidth="1"/>
    <col min="631" max="632" width="13.140625" bestFit="1" customWidth="1"/>
    <col min="633" max="633" width="11.7109375" bestFit="1" customWidth="1"/>
    <col min="634" max="634" width="11.85546875" bestFit="1" customWidth="1"/>
    <col min="635" max="635" width="12.140625" bestFit="1" customWidth="1"/>
    <col min="636" max="636" width="11.85546875" bestFit="1" customWidth="1"/>
    <col min="637" max="637" width="11.42578125" bestFit="1" customWidth="1"/>
    <col min="638" max="638" width="12.140625" bestFit="1" customWidth="1"/>
    <col min="639" max="639" width="12" bestFit="1" customWidth="1"/>
    <col min="640" max="640" width="11.85546875" bestFit="1" customWidth="1"/>
    <col min="641" max="641" width="13.140625" bestFit="1" customWidth="1"/>
    <col min="642" max="642" width="12.28515625" bestFit="1" customWidth="1"/>
    <col min="643" max="643" width="13.7109375" bestFit="1" customWidth="1"/>
    <col min="644" max="645" width="11.85546875" bestFit="1" customWidth="1"/>
    <col min="646" max="646" width="12.5703125" bestFit="1" customWidth="1"/>
    <col min="647" max="648" width="11.85546875" bestFit="1" customWidth="1"/>
    <col min="649" max="649" width="12" bestFit="1" customWidth="1"/>
    <col min="650" max="650" width="12.42578125" bestFit="1" customWidth="1"/>
    <col min="651" max="651" width="11.85546875" bestFit="1" customWidth="1"/>
    <col min="652" max="652" width="12.5703125" bestFit="1" customWidth="1"/>
    <col min="653" max="653" width="12.42578125" bestFit="1" customWidth="1"/>
    <col min="654" max="654" width="10.85546875" bestFit="1" customWidth="1"/>
    <col min="655" max="655" width="11.28515625" bestFit="1" customWidth="1"/>
    <col min="656" max="657" width="11.5703125" bestFit="1" customWidth="1"/>
    <col min="658" max="658" width="11.7109375" bestFit="1" customWidth="1"/>
    <col min="659" max="659" width="11.85546875" bestFit="1" customWidth="1"/>
    <col min="660" max="660" width="12.42578125" bestFit="1" customWidth="1"/>
    <col min="661" max="661" width="11" bestFit="1" customWidth="1"/>
    <col min="662" max="662" width="12.5703125" bestFit="1" customWidth="1"/>
    <col min="663" max="663" width="12" bestFit="1" customWidth="1"/>
    <col min="664" max="664" width="11.7109375" bestFit="1" customWidth="1"/>
    <col min="665" max="665" width="12.140625" bestFit="1" customWidth="1"/>
    <col min="666" max="666" width="11.7109375" bestFit="1" customWidth="1"/>
    <col min="667" max="667" width="13.140625" bestFit="1" customWidth="1"/>
    <col min="668" max="668" width="12.5703125" bestFit="1" customWidth="1"/>
    <col min="669" max="669" width="12.28515625" bestFit="1" customWidth="1"/>
    <col min="670" max="670" width="12" bestFit="1" customWidth="1"/>
    <col min="671" max="671" width="11.7109375" bestFit="1" customWidth="1"/>
    <col min="672" max="672" width="11.140625" bestFit="1" customWidth="1"/>
    <col min="673" max="673" width="11.7109375" bestFit="1" customWidth="1"/>
    <col min="674" max="674" width="13.28515625" bestFit="1" customWidth="1"/>
    <col min="675" max="675" width="10.7109375" bestFit="1" customWidth="1"/>
    <col min="676" max="676" width="11.140625" bestFit="1" customWidth="1"/>
    <col min="677" max="677" width="11.28515625" bestFit="1" customWidth="1"/>
    <col min="678" max="678" width="11.140625" bestFit="1" customWidth="1"/>
    <col min="679" max="679" width="11.85546875" bestFit="1" customWidth="1"/>
    <col min="680" max="680" width="12.28515625" bestFit="1" customWidth="1"/>
    <col min="681" max="681" width="12.140625" bestFit="1" customWidth="1"/>
    <col min="682" max="682" width="12.85546875" bestFit="1" customWidth="1"/>
    <col min="683" max="683" width="12.42578125" bestFit="1" customWidth="1"/>
    <col min="684" max="684" width="11.85546875" bestFit="1" customWidth="1"/>
    <col min="685" max="685" width="12.28515625" bestFit="1" customWidth="1"/>
    <col min="686" max="686" width="13.28515625" bestFit="1" customWidth="1"/>
    <col min="687" max="687" width="11.5703125" bestFit="1" customWidth="1"/>
    <col min="688" max="688" width="12.42578125" bestFit="1" customWidth="1"/>
    <col min="689" max="689" width="14" bestFit="1" customWidth="1"/>
    <col min="690" max="690" width="13.42578125" bestFit="1" customWidth="1"/>
    <col min="691" max="691" width="12.7109375" bestFit="1" customWidth="1"/>
    <col min="692" max="692" width="12.42578125" bestFit="1" customWidth="1"/>
    <col min="693" max="693" width="13.140625" bestFit="1" customWidth="1"/>
    <col min="694" max="694" width="12.85546875" bestFit="1" customWidth="1"/>
    <col min="695" max="695" width="13.7109375" bestFit="1" customWidth="1"/>
    <col min="696" max="697" width="12.28515625" bestFit="1" customWidth="1"/>
    <col min="698" max="698" width="13.28515625" bestFit="1" customWidth="1"/>
    <col min="699" max="699" width="11.7109375" bestFit="1" customWidth="1"/>
    <col min="700" max="700" width="11.5703125" bestFit="1" customWidth="1"/>
    <col min="701" max="702" width="12.28515625" bestFit="1" customWidth="1"/>
    <col min="703" max="703" width="12.85546875" bestFit="1" customWidth="1"/>
    <col min="704" max="704" width="12" bestFit="1" customWidth="1"/>
    <col min="705" max="705" width="11.7109375" bestFit="1" customWidth="1"/>
    <col min="706" max="706" width="11.42578125" bestFit="1" customWidth="1"/>
    <col min="707" max="707" width="12" bestFit="1" customWidth="1"/>
    <col min="708" max="708" width="13.28515625" bestFit="1" customWidth="1"/>
    <col min="709" max="709" width="11.7109375" bestFit="1" customWidth="1"/>
    <col min="710" max="710" width="12" bestFit="1" customWidth="1"/>
    <col min="711" max="711" width="12.85546875" bestFit="1" customWidth="1"/>
    <col min="712" max="712" width="14" bestFit="1" customWidth="1"/>
    <col min="713" max="713" width="12" bestFit="1" customWidth="1"/>
    <col min="714" max="714" width="12.140625" bestFit="1" customWidth="1"/>
    <col min="715" max="715" width="12.85546875" bestFit="1" customWidth="1"/>
    <col min="716" max="716" width="13.5703125" bestFit="1" customWidth="1"/>
    <col min="717" max="717" width="13.140625" bestFit="1" customWidth="1"/>
    <col min="718" max="718" width="11.5703125" bestFit="1" customWidth="1"/>
    <col min="719" max="719" width="12.5703125" bestFit="1" customWidth="1"/>
    <col min="720" max="720" width="11.85546875" bestFit="1" customWidth="1"/>
    <col min="721" max="721" width="12" bestFit="1" customWidth="1"/>
    <col min="722" max="722" width="11.85546875" bestFit="1" customWidth="1"/>
    <col min="723" max="723" width="11.28515625" bestFit="1" customWidth="1"/>
    <col min="724" max="724" width="11.7109375" bestFit="1" customWidth="1"/>
    <col min="725" max="725" width="12" bestFit="1" customWidth="1"/>
    <col min="726" max="726" width="12.42578125" bestFit="1" customWidth="1"/>
    <col min="727" max="728" width="12.140625" bestFit="1" customWidth="1"/>
    <col min="729" max="729" width="12.7109375" bestFit="1" customWidth="1"/>
    <col min="730" max="730" width="11.7109375" bestFit="1" customWidth="1"/>
    <col min="731" max="731" width="13.28515625" bestFit="1" customWidth="1"/>
    <col min="732" max="732" width="11.5703125" bestFit="1" customWidth="1"/>
    <col min="733" max="733" width="12.85546875" bestFit="1" customWidth="1"/>
    <col min="734" max="734" width="12" bestFit="1" customWidth="1"/>
    <col min="735" max="736" width="11.85546875" bestFit="1" customWidth="1"/>
    <col min="737" max="737" width="11.5703125" bestFit="1" customWidth="1"/>
    <col min="738" max="738" width="12.85546875" bestFit="1" customWidth="1"/>
    <col min="739" max="739" width="12" bestFit="1" customWidth="1"/>
    <col min="740" max="740" width="12.28515625" bestFit="1" customWidth="1"/>
    <col min="741" max="741" width="11.42578125" bestFit="1" customWidth="1"/>
    <col min="742" max="742" width="12.7109375" bestFit="1" customWidth="1"/>
    <col min="743" max="743" width="11.42578125" bestFit="1" customWidth="1"/>
    <col min="744" max="744" width="11.5703125" bestFit="1" customWidth="1"/>
    <col min="745" max="745" width="11.85546875" bestFit="1" customWidth="1"/>
    <col min="746" max="746" width="11.5703125" bestFit="1" customWidth="1"/>
    <col min="747" max="747" width="12.42578125" bestFit="1" customWidth="1"/>
    <col min="748" max="748" width="12.140625" bestFit="1" customWidth="1"/>
    <col min="749" max="749" width="13.85546875" bestFit="1" customWidth="1"/>
    <col min="750" max="750" width="12" bestFit="1" customWidth="1"/>
    <col min="751" max="751" width="12.5703125" bestFit="1" customWidth="1"/>
    <col min="752" max="752" width="11.7109375" bestFit="1" customWidth="1"/>
    <col min="753" max="753" width="12.7109375" bestFit="1" customWidth="1"/>
    <col min="754" max="754" width="13.7109375" bestFit="1" customWidth="1"/>
    <col min="755" max="755" width="12" bestFit="1" customWidth="1"/>
    <col min="756" max="756" width="12.28515625" bestFit="1" customWidth="1"/>
    <col min="757" max="757" width="12.42578125" bestFit="1" customWidth="1"/>
    <col min="758" max="758" width="12.7109375" bestFit="1" customWidth="1"/>
    <col min="759" max="759" width="14.7109375" bestFit="1" customWidth="1"/>
    <col min="760" max="760" width="12.42578125" bestFit="1" customWidth="1"/>
    <col min="761" max="761" width="14.140625" bestFit="1" customWidth="1"/>
    <col min="762" max="762" width="12.7109375" bestFit="1" customWidth="1"/>
    <col min="763" max="763" width="14.42578125" bestFit="1" customWidth="1"/>
    <col min="764" max="764" width="15" bestFit="1" customWidth="1"/>
    <col min="765" max="765" width="12.140625" bestFit="1" customWidth="1"/>
    <col min="766" max="766" width="11.7109375" bestFit="1" customWidth="1"/>
    <col min="767" max="767" width="12.7109375" bestFit="1" customWidth="1"/>
    <col min="768" max="768" width="14.28515625" bestFit="1" customWidth="1"/>
    <col min="769" max="769" width="11.5703125" bestFit="1" customWidth="1"/>
    <col min="770" max="770" width="12.140625" bestFit="1" customWidth="1"/>
    <col min="771" max="771" width="11.7109375" bestFit="1" customWidth="1"/>
    <col min="772" max="772" width="11.5703125" bestFit="1" customWidth="1"/>
    <col min="773" max="774" width="11.42578125" bestFit="1" customWidth="1"/>
    <col min="775" max="775" width="12.5703125" bestFit="1" customWidth="1"/>
    <col min="776" max="776" width="11.7109375" bestFit="1" customWidth="1"/>
    <col min="777" max="777" width="11.85546875" bestFit="1" customWidth="1"/>
    <col min="778" max="778" width="11.7109375" bestFit="1" customWidth="1"/>
    <col min="779" max="779" width="13.42578125" bestFit="1" customWidth="1"/>
    <col min="780" max="780" width="11.5703125" bestFit="1" customWidth="1"/>
    <col min="781" max="781" width="11.85546875" bestFit="1" customWidth="1"/>
    <col min="782" max="782" width="12" bestFit="1" customWidth="1"/>
    <col min="783" max="783" width="12.7109375" bestFit="1" customWidth="1"/>
    <col min="784" max="784" width="12.140625" bestFit="1" customWidth="1"/>
    <col min="785" max="785" width="12.85546875" bestFit="1" customWidth="1"/>
    <col min="786" max="786" width="11.85546875" bestFit="1" customWidth="1"/>
    <col min="787" max="787" width="11.7109375" bestFit="1" customWidth="1"/>
    <col min="788" max="788" width="11.28515625" bestFit="1" customWidth="1"/>
    <col min="789" max="789" width="11.42578125" bestFit="1" customWidth="1"/>
    <col min="790" max="790" width="12.140625" bestFit="1" customWidth="1"/>
    <col min="791" max="791" width="12" bestFit="1" customWidth="1"/>
    <col min="792" max="792" width="11.140625" bestFit="1" customWidth="1"/>
    <col min="793" max="793" width="12.42578125" bestFit="1" customWidth="1"/>
    <col min="794" max="795" width="11.85546875" bestFit="1" customWidth="1"/>
    <col min="796" max="796" width="12.28515625" bestFit="1" customWidth="1"/>
    <col min="797" max="797" width="11.7109375" bestFit="1" customWidth="1"/>
    <col min="798" max="798" width="11.140625" bestFit="1" customWidth="1"/>
    <col min="799" max="799" width="11.7109375" bestFit="1" customWidth="1"/>
    <col min="800" max="800" width="12.5703125" bestFit="1" customWidth="1"/>
    <col min="801" max="801" width="11.7109375" bestFit="1" customWidth="1"/>
    <col min="802" max="802" width="12.140625" bestFit="1" customWidth="1"/>
    <col min="803" max="803" width="11.28515625" bestFit="1" customWidth="1"/>
    <col min="804" max="804" width="12.28515625" bestFit="1" customWidth="1"/>
    <col min="805" max="805" width="11.42578125" bestFit="1" customWidth="1"/>
    <col min="806" max="806" width="12.42578125" bestFit="1" customWidth="1"/>
    <col min="807" max="807" width="13.42578125" bestFit="1" customWidth="1"/>
    <col min="808" max="808" width="11.28515625" bestFit="1" customWidth="1"/>
    <col min="809" max="809" width="11" bestFit="1" customWidth="1"/>
    <col min="810" max="810" width="12.28515625" bestFit="1" customWidth="1"/>
    <col min="811" max="811" width="11.5703125" bestFit="1" customWidth="1"/>
    <col min="812" max="812" width="12.28515625" bestFit="1" customWidth="1"/>
    <col min="813" max="814" width="11.5703125" bestFit="1" customWidth="1"/>
    <col min="815" max="815" width="12.140625" bestFit="1" customWidth="1"/>
    <col min="816" max="816" width="11.42578125" bestFit="1" customWidth="1"/>
    <col min="817" max="818" width="12.140625" bestFit="1" customWidth="1"/>
    <col min="819" max="819" width="11.140625" bestFit="1" customWidth="1"/>
    <col min="820" max="820" width="13.42578125" bestFit="1" customWidth="1"/>
    <col min="821" max="821" width="13.28515625" bestFit="1" customWidth="1"/>
    <col min="822" max="822" width="11.85546875" bestFit="1" customWidth="1"/>
    <col min="823" max="823" width="12.140625" bestFit="1" customWidth="1"/>
    <col min="824" max="824" width="11.7109375" bestFit="1" customWidth="1"/>
    <col min="825" max="825" width="12.140625" bestFit="1" customWidth="1"/>
    <col min="826" max="826" width="12.7109375" bestFit="1" customWidth="1"/>
    <col min="827" max="827" width="11.85546875" bestFit="1" customWidth="1"/>
    <col min="828" max="828" width="12.140625" bestFit="1" customWidth="1"/>
    <col min="829" max="829" width="11.140625" bestFit="1" customWidth="1"/>
    <col min="830" max="830" width="11.5703125" bestFit="1" customWidth="1"/>
    <col min="831" max="831" width="11.7109375" bestFit="1" customWidth="1"/>
    <col min="832" max="832" width="11.85546875" bestFit="1" customWidth="1"/>
    <col min="833" max="833" width="11.42578125" bestFit="1" customWidth="1"/>
    <col min="834" max="834" width="11.85546875" bestFit="1" customWidth="1"/>
    <col min="835" max="835" width="13.28515625" bestFit="1" customWidth="1"/>
    <col min="836" max="836" width="11.7109375" bestFit="1" customWidth="1"/>
    <col min="837" max="837" width="12.5703125" bestFit="1" customWidth="1"/>
    <col min="838" max="838" width="11.85546875" bestFit="1" customWidth="1"/>
    <col min="839" max="839" width="11.7109375" bestFit="1" customWidth="1"/>
    <col min="840" max="840" width="12" bestFit="1" customWidth="1"/>
    <col min="841" max="841" width="11.140625" bestFit="1" customWidth="1"/>
    <col min="842" max="842" width="12.140625" bestFit="1" customWidth="1"/>
    <col min="843" max="843" width="11.7109375" bestFit="1" customWidth="1"/>
    <col min="844" max="844" width="12.140625" bestFit="1" customWidth="1"/>
    <col min="845" max="845" width="11" bestFit="1" customWidth="1"/>
    <col min="846" max="846" width="11.85546875" bestFit="1" customWidth="1"/>
    <col min="847" max="847" width="11.140625" bestFit="1" customWidth="1"/>
    <col min="848" max="848" width="11.5703125" bestFit="1" customWidth="1"/>
    <col min="849" max="849" width="12.7109375" bestFit="1" customWidth="1"/>
    <col min="850" max="850" width="12.42578125" bestFit="1" customWidth="1"/>
    <col min="851" max="851" width="12" bestFit="1" customWidth="1"/>
    <col min="852" max="852" width="11.85546875" bestFit="1" customWidth="1"/>
    <col min="853" max="853" width="11.7109375" bestFit="1" customWidth="1"/>
    <col min="854" max="854" width="11.28515625" bestFit="1" customWidth="1"/>
    <col min="855" max="855" width="11.140625" bestFit="1" customWidth="1"/>
    <col min="856" max="856" width="11.5703125" bestFit="1" customWidth="1"/>
    <col min="857" max="857" width="13.140625" bestFit="1" customWidth="1"/>
    <col min="858" max="858" width="12" bestFit="1" customWidth="1"/>
    <col min="859" max="859" width="12.42578125" bestFit="1" customWidth="1"/>
    <col min="860" max="860" width="11.42578125" bestFit="1" customWidth="1"/>
    <col min="861" max="861" width="12" bestFit="1" customWidth="1"/>
    <col min="862" max="862" width="12.85546875" bestFit="1" customWidth="1"/>
    <col min="863" max="863" width="11.85546875" bestFit="1" customWidth="1"/>
    <col min="864" max="864" width="11.7109375" bestFit="1" customWidth="1"/>
    <col min="865" max="865" width="11.140625" bestFit="1" customWidth="1"/>
    <col min="866" max="866" width="11.5703125" bestFit="1" customWidth="1"/>
    <col min="867" max="867" width="12.42578125" bestFit="1" customWidth="1"/>
    <col min="868" max="868" width="12.28515625" bestFit="1" customWidth="1"/>
    <col min="869" max="869" width="13.140625" bestFit="1" customWidth="1"/>
    <col min="870" max="870" width="12.7109375" bestFit="1" customWidth="1"/>
    <col min="871" max="871" width="12.5703125" bestFit="1" customWidth="1"/>
    <col min="872" max="872" width="12.28515625" bestFit="1" customWidth="1"/>
    <col min="873" max="873" width="12.85546875" bestFit="1" customWidth="1"/>
    <col min="874" max="874" width="13.140625" bestFit="1" customWidth="1"/>
    <col min="875" max="875" width="13.28515625" bestFit="1" customWidth="1"/>
    <col min="876" max="876" width="12.140625" bestFit="1" customWidth="1"/>
    <col min="877" max="877" width="12" bestFit="1" customWidth="1"/>
    <col min="878" max="878" width="13.140625" bestFit="1" customWidth="1"/>
    <col min="879" max="879" width="11.85546875" bestFit="1" customWidth="1"/>
    <col min="880" max="880" width="12" bestFit="1" customWidth="1"/>
    <col min="881" max="881" width="11.7109375" bestFit="1" customWidth="1"/>
    <col min="882" max="882" width="14" bestFit="1" customWidth="1"/>
    <col min="883" max="883" width="12.42578125" bestFit="1" customWidth="1"/>
    <col min="884" max="884" width="14.140625" bestFit="1" customWidth="1"/>
    <col min="885" max="885" width="11.42578125" bestFit="1" customWidth="1"/>
    <col min="886" max="886" width="13.7109375" bestFit="1" customWidth="1"/>
    <col min="887" max="887" width="11.85546875" bestFit="1" customWidth="1"/>
    <col min="888" max="888" width="13.28515625" bestFit="1" customWidth="1"/>
    <col min="889" max="889" width="13.85546875" bestFit="1" customWidth="1"/>
    <col min="890" max="890" width="11.42578125" bestFit="1" customWidth="1"/>
    <col min="891" max="891" width="13.140625" bestFit="1" customWidth="1"/>
    <col min="892" max="892" width="11.5703125" bestFit="1" customWidth="1"/>
    <col min="893" max="893" width="12" bestFit="1" customWidth="1"/>
    <col min="894" max="894" width="12.140625" bestFit="1" customWidth="1"/>
    <col min="895" max="895" width="11.7109375" bestFit="1" customWidth="1"/>
    <col min="896" max="897" width="11.28515625" bestFit="1" customWidth="1"/>
    <col min="898" max="898" width="12.42578125" bestFit="1" customWidth="1"/>
    <col min="899" max="900" width="12.28515625" bestFit="1" customWidth="1"/>
    <col min="901" max="901" width="11.42578125" bestFit="1" customWidth="1"/>
    <col min="902" max="903" width="11.85546875" bestFit="1" customWidth="1"/>
    <col min="904" max="904" width="11.5703125" bestFit="1" customWidth="1"/>
    <col min="905" max="905" width="13.5703125" bestFit="1" customWidth="1"/>
    <col min="906" max="906" width="12.42578125" bestFit="1" customWidth="1"/>
    <col min="907" max="907" width="12.140625" bestFit="1" customWidth="1"/>
    <col min="908" max="908" width="11.85546875" bestFit="1" customWidth="1"/>
    <col min="909" max="909" width="12.140625" bestFit="1" customWidth="1"/>
    <col min="910" max="910" width="13.140625" bestFit="1" customWidth="1"/>
    <col min="911" max="911" width="12.85546875" bestFit="1" customWidth="1"/>
    <col min="912" max="912" width="12.28515625" bestFit="1" customWidth="1"/>
    <col min="913" max="913" width="12.42578125" bestFit="1" customWidth="1"/>
    <col min="914" max="914" width="12.7109375" bestFit="1" customWidth="1"/>
    <col min="915" max="915" width="11.85546875" bestFit="1" customWidth="1"/>
    <col min="916" max="916" width="12.28515625" bestFit="1" customWidth="1"/>
    <col min="917" max="917" width="12.7109375" bestFit="1" customWidth="1"/>
    <col min="918" max="918" width="11.7109375" bestFit="1" customWidth="1"/>
    <col min="919" max="919" width="12.85546875" bestFit="1" customWidth="1"/>
    <col min="920" max="920" width="12.28515625" bestFit="1" customWidth="1"/>
    <col min="921" max="921" width="12" bestFit="1" customWidth="1"/>
    <col min="922" max="922" width="11.5703125" bestFit="1" customWidth="1"/>
    <col min="923" max="923" width="11.85546875" bestFit="1" customWidth="1"/>
    <col min="924" max="924" width="13.28515625" bestFit="1" customWidth="1"/>
    <col min="925" max="926" width="12.7109375" bestFit="1" customWidth="1"/>
    <col min="927" max="927" width="11.7109375" bestFit="1" customWidth="1"/>
    <col min="928" max="928" width="12.7109375" bestFit="1" customWidth="1"/>
    <col min="929" max="929" width="12.5703125" bestFit="1" customWidth="1"/>
    <col min="930" max="932" width="11.7109375" bestFit="1" customWidth="1"/>
    <col min="933" max="933" width="11.42578125" bestFit="1" customWidth="1"/>
    <col min="934" max="934" width="12.5703125" bestFit="1" customWidth="1"/>
    <col min="935" max="935" width="11.7109375" bestFit="1" customWidth="1"/>
    <col min="936" max="936" width="11" bestFit="1" customWidth="1"/>
    <col min="937" max="937" width="12.140625" bestFit="1" customWidth="1"/>
    <col min="938" max="938" width="12.5703125" bestFit="1" customWidth="1"/>
    <col min="939" max="939" width="13.42578125" bestFit="1" customWidth="1"/>
    <col min="940" max="940" width="11.42578125" bestFit="1" customWidth="1"/>
    <col min="941" max="941" width="12.42578125" bestFit="1" customWidth="1"/>
    <col min="942" max="942" width="12.85546875" bestFit="1" customWidth="1"/>
    <col min="943" max="944" width="12.140625" bestFit="1" customWidth="1"/>
    <col min="945" max="945" width="11.42578125" bestFit="1" customWidth="1"/>
    <col min="946" max="947" width="11.5703125" bestFit="1" customWidth="1"/>
    <col min="948" max="949" width="11.28515625" bestFit="1" customWidth="1"/>
    <col min="950" max="950" width="11.85546875" bestFit="1" customWidth="1"/>
    <col min="951" max="951" width="11.5703125" bestFit="1" customWidth="1"/>
    <col min="952" max="952" width="12.42578125" bestFit="1" customWidth="1"/>
    <col min="953" max="953" width="10.85546875" bestFit="1" customWidth="1"/>
    <col min="954" max="954" width="13.85546875" bestFit="1" customWidth="1"/>
    <col min="955" max="955" width="12" bestFit="1" customWidth="1"/>
    <col min="956" max="956" width="12.85546875" bestFit="1" customWidth="1"/>
    <col min="957" max="957" width="11.7109375" bestFit="1" customWidth="1"/>
    <col min="958" max="958" width="11.140625" bestFit="1" customWidth="1"/>
    <col min="959" max="959" width="13.140625" bestFit="1" customWidth="1"/>
    <col min="960" max="960" width="12.85546875" bestFit="1" customWidth="1"/>
    <col min="961" max="961" width="12.28515625" bestFit="1" customWidth="1"/>
    <col min="962" max="962" width="13.28515625" bestFit="1" customWidth="1"/>
    <col min="963" max="963" width="13.140625" bestFit="1" customWidth="1"/>
    <col min="964" max="965" width="12.28515625" bestFit="1" customWidth="1"/>
    <col min="966" max="966" width="11.7109375" bestFit="1" customWidth="1"/>
    <col min="967" max="967" width="13.7109375" bestFit="1" customWidth="1"/>
    <col min="968" max="968" width="12.42578125" bestFit="1" customWidth="1"/>
    <col min="969" max="969" width="13.5703125" bestFit="1" customWidth="1"/>
    <col min="970" max="970" width="14" bestFit="1" customWidth="1"/>
    <col min="971" max="971" width="13.42578125" bestFit="1" customWidth="1"/>
    <col min="972" max="972" width="12.7109375" bestFit="1" customWidth="1"/>
    <col min="973" max="973" width="13.28515625" bestFit="1" customWidth="1"/>
    <col min="974" max="974" width="13.42578125" bestFit="1" customWidth="1"/>
    <col min="975" max="975" width="12.140625" bestFit="1" customWidth="1"/>
    <col min="976" max="976" width="12.42578125" bestFit="1" customWidth="1"/>
    <col min="977" max="977" width="13.7109375" bestFit="1" customWidth="1"/>
    <col min="978" max="978" width="13.42578125" bestFit="1" customWidth="1"/>
    <col min="979" max="979" width="13.140625" bestFit="1" customWidth="1"/>
    <col min="980" max="980" width="12.7109375" bestFit="1" customWidth="1"/>
    <col min="981" max="981" width="12.42578125" bestFit="1" customWidth="1"/>
    <col min="982" max="982" width="11.85546875" bestFit="1" customWidth="1"/>
    <col min="983" max="983" width="11.7109375" bestFit="1" customWidth="1"/>
    <col min="984" max="984" width="11.85546875" bestFit="1" customWidth="1"/>
    <col min="985" max="985" width="12.42578125" bestFit="1" customWidth="1"/>
    <col min="986" max="986" width="13.5703125" bestFit="1" customWidth="1"/>
    <col min="987" max="987" width="12.5703125" bestFit="1" customWidth="1"/>
    <col min="988" max="988" width="11.5703125" bestFit="1" customWidth="1"/>
    <col min="989" max="989" width="13.5703125" bestFit="1" customWidth="1"/>
    <col min="990" max="990" width="12.140625" bestFit="1" customWidth="1"/>
    <col min="991" max="991" width="11.42578125" bestFit="1" customWidth="1"/>
    <col min="992" max="992" width="12.42578125" bestFit="1" customWidth="1"/>
    <col min="993" max="993" width="13.28515625" bestFit="1" customWidth="1"/>
    <col min="994" max="994" width="12.28515625" bestFit="1" customWidth="1"/>
    <col min="995" max="995" width="13.85546875" bestFit="1" customWidth="1"/>
    <col min="996" max="996" width="12.42578125" bestFit="1" customWidth="1"/>
    <col min="997" max="997" width="12.140625" bestFit="1" customWidth="1"/>
    <col min="998" max="998" width="12.28515625" bestFit="1" customWidth="1"/>
    <col min="999" max="999" width="13.5703125" bestFit="1" customWidth="1"/>
    <col min="1000" max="1000" width="11.85546875" bestFit="1" customWidth="1"/>
    <col min="1001" max="1001" width="12.5703125" bestFit="1" customWidth="1"/>
    <col min="1002" max="1002" width="12.42578125" bestFit="1" customWidth="1"/>
    <col min="1003" max="1003" width="13.28515625" bestFit="1" customWidth="1"/>
    <col min="1004" max="1004" width="11.5703125" bestFit="1" customWidth="1"/>
    <col min="1005" max="1006" width="12.7109375" bestFit="1" customWidth="1"/>
    <col min="1007" max="1007" width="12" bestFit="1" customWidth="1"/>
    <col min="1008" max="1008" width="11" bestFit="1" customWidth="1"/>
    <col min="1009" max="1009" width="11.7109375" bestFit="1" customWidth="1"/>
    <col min="1010" max="1010" width="13.5703125" bestFit="1" customWidth="1"/>
    <col min="1011" max="1011" width="12.5703125" bestFit="1" customWidth="1"/>
    <col min="1012" max="1012" width="11.5703125" bestFit="1" customWidth="1"/>
    <col min="1013" max="1014" width="11.85546875" bestFit="1" customWidth="1"/>
    <col min="1015" max="1015" width="12.140625" bestFit="1" customWidth="1"/>
    <col min="1016" max="1016" width="12.28515625" bestFit="1" customWidth="1"/>
    <col min="1017" max="1017" width="11.5703125" bestFit="1" customWidth="1"/>
    <col min="1018" max="1018" width="13.140625" bestFit="1" customWidth="1"/>
    <col min="1019" max="1019" width="12.5703125" bestFit="1" customWidth="1"/>
    <col min="1020" max="1020" width="12.7109375" bestFit="1" customWidth="1"/>
    <col min="1021" max="1021" width="13.140625" bestFit="1" customWidth="1"/>
    <col min="1022" max="1023" width="13.28515625" bestFit="1" customWidth="1"/>
    <col min="1024" max="1024" width="13.5703125" bestFit="1" customWidth="1"/>
    <col min="1025" max="1025" width="12.28515625" bestFit="1" customWidth="1"/>
    <col min="1026" max="1026" width="12.85546875" bestFit="1" customWidth="1"/>
    <col min="1027" max="1027" width="11.7109375" bestFit="1" customWidth="1"/>
    <col min="1028" max="1028" width="11.5703125" bestFit="1" customWidth="1"/>
    <col min="1029" max="1029" width="11.28515625" bestFit="1" customWidth="1"/>
    <col min="1030" max="1030" width="11.7109375" bestFit="1" customWidth="1"/>
    <col min="1031" max="1031" width="12.42578125" bestFit="1" customWidth="1"/>
    <col min="1032" max="1032" width="11.5703125" bestFit="1" customWidth="1"/>
    <col min="1033" max="1033" width="11.85546875" bestFit="1" customWidth="1"/>
    <col min="1034" max="1034" width="12" bestFit="1" customWidth="1"/>
    <col min="1035" max="1035" width="13.28515625" bestFit="1" customWidth="1"/>
    <col min="1036" max="1037" width="13.140625" bestFit="1" customWidth="1"/>
    <col min="1038" max="1038" width="12.7109375" bestFit="1" customWidth="1"/>
    <col min="1039" max="1039" width="11.5703125" bestFit="1" customWidth="1"/>
    <col min="1040" max="1040" width="12.140625" bestFit="1" customWidth="1"/>
    <col min="1041" max="1041" width="11.140625" bestFit="1" customWidth="1"/>
    <col min="1042" max="1042" width="12.85546875" bestFit="1" customWidth="1"/>
    <col min="1043" max="1043" width="12" bestFit="1" customWidth="1"/>
    <col min="1044" max="1044" width="12.5703125" bestFit="1" customWidth="1"/>
    <col min="1045" max="1045" width="11.28515625" bestFit="1" customWidth="1"/>
    <col min="1046" max="1046" width="12.140625" bestFit="1" customWidth="1"/>
    <col min="1047" max="1047" width="13.5703125" bestFit="1" customWidth="1"/>
    <col min="1048" max="1048" width="11.42578125" bestFit="1" customWidth="1"/>
    <col min="1049" max="1049" width="11.5703125" bestFit="1" customWidth="1"/>
    <col min="1050" max="1050" width="11.85546875" bestFit="1" customWidth="1"/>
    <col min="1051" max="1051" width="11.28515625" bestFit="1" customWidth="1"/>
    <col min="1052" max="1052" width="12.140625" bestFit="1" customWidth="1"/>
    <col min="1053" max="1053" width="11.140625" bestFit="1" customWidth="1"/>
    <col min="1054" max="1054" width="11.42578125" bestFit="1" customWidth="1"/>
    <col min="1055" max="1055" width="12.85546875" bestFit="1" customWidth="1"/>
    <col min="1056" max="1056" width="12" bestFit="1" customWidth="1"/>
    <col min="1057" max="1057" width="11.7109375" bestFit="1" customWidth="1"/>
    <col min="1058" max="1058" width="13.85546875" bestFit="1" customWidth="1"/>
    <col min="1059" max="1059" width="13.28515625" bestFit="1" customWidth="1"/>
    <col min="1060" max="1060" width="12.42578125" bestFit="1" customWidth="1"/>
    <col min="1061" max="1064" width="12" bestFit="1" customWidth="1"/>
    <col min="1065" max="1065" width="13.140625" bestFit="1" customWidth="1"/>
    <col min="1066" max="1066" width="13.42578125" bestFit="1" customWidth="1"/>
    <col min="1067" max="1067" width="11.42578125" bestFit="1" customWidth="1"/>
    <col min="1068" max="1068" width="13.140625" bestFit="1" customWidth="1"/>
    <col min="1069" max="1069" width="12.140625" bestFit="1" customWidth="1"/>
    <col min="1070" max="1070" width="12" bestFit="1" customWidth="1"/>
    <col min="1071" max="1071" width="13.42578125" bestFit="1" customWidth="1"/>
    <col min="1072" max="1072" width="11.85546875" bestFit="1" customWidth="1"/>
    <col min="1073" max="1074" width="11.5703125" bestFit="1" customWidth="1"/>
    <col min="1075" max="1075" width="12.28515625" bestFit="1" customWidth="1"/>
    <col min="1076" max="1076" width="12.5703125" bestFit="1" customWidth="1"/>
    <col min="1077" max="1077" width="13.28515625" bestFit="1" customWidth="1"/>
    <col min="1078" max="1078" width="12.7109375" bestFit="1" customWidth="1"/>
    <col min="1079" max="1079" width="13.42578125" bestFit="1" customWidth="1"/>
    <col min="1080" max="1080" width="12.85546875" bestFit="1" customWidth="1"/>
    <col min="1081" max="1081" width="13.85546875" bestFit="1" customWidth="1"/>
    <col min="1082" max="1082" width="12.85546875" bestFit="1" customWidth="1"/>
    <col min="1083" max="1083" width="11.7109375" bestFit="1" customWidth="1"/>
    <col min="1084" max="1084" width="11.85546875" bestFit="1" customWidth="1"/>
    <col min="1085" max="1085" width="11.28515625" bestFit="1" customWidth="1"/>
    <col min="1086" max="1086" width="11.5703125" bestFit="1" customWidth="1"/>
    <col min="1087" max="1087" width="12.140625" bestFit="1" customWidth="1"/>
    <col min="1088" max="1088" width="11.5703125" bestFit="1" customWidth="1"/>
    <col min="1089" max="1089" width="12.85546875" bestFit="1" customWidth="1"/>
    <col min="1090" max="1090" width="12" bestFit="1" customWidth="1"/>
    <col min="1091" max="1091" width="12.42578125" bestFit="1" customWidth="1"/>
    <col min="1092" max="1092" width="11.7109375" bestFit="1" customWidth="1"/>
    <col min="1093" max="1093" width="12.28515625" bestFit="1" customWidth="1"/>
    <col min="1094" max="1094" width="11.85546875" bestFit="1" customWidth="1"/>
    <col min="1095" max="1095" width="11" bestFit="1" customWidth="1"/>
    <col min="1096" max="1096" width="11.7109375" bestFit="1" customWidth="1"/>
    <col min="1097" max="1097" width="12.28515625" bestFit="1" customWidth="1"/>
    <col min="1098" max="1098" width="12" bestFit="1" customWidth="1"/>
    <col min="1099" max="1099" width="12.140625" bestFit="1" customWidth="1"/>
    <col min="1100" max="1100" width="11" bestFit="1" customWidth="1"/>
    <col min="1101" max="1101" width="12" bestFit="1" customWidth="1"/>
    <col min="1102" max="1102" width="11.85546875" bestFit="1" customWidth="1"/>
    <col min="1103" max="1103" width="12.42578125" bestFit="1" customWidth="1"/>
    <col min="1104" max="1104" width="12.5703125" bestFit="1" customWidth="1"/>
    <col min="1105" max="1105" width="11.42578125" bestFit="1" customWidth="1"/>
    <col min="1106" max="1106" width="12.140625" bestFit="1" customWidth="1"/>
    <col min="1107" max="1107" width="11.7109375" bestFit="1" customWidth="1"/>
    <col min="1108" max="1108" width="12.7109375" bestFit="1" customWidth="1"/>
    <col min="1109" max="1109" width="13.28515625" bestFit="1" customWidth="1"/>
    <col min="1110" max="1110" width="11.85546875" bestFit="1" customWidth="1"/>
    <col min="1111" max="1112" width="11.7109375" bestFit="1" customWidth="1"/>
    <col min="1113" max="1113" width="12.7109375" bestFit="1" customWidth="1"/>
    <col min="1114" max="1114" width="12.28515625" bestFit="1" customWidth="1"/>
    <col min="1115" max="1115" width="12.5703125" bestFit="1" customWidth="1"/>
    <col min="1116" max="1116" width="13.5703125" bestFit="1" customWidth="1"/>
    <col min="1117" max="1117" width="12.42578125" bestFit="1" customWidth="1"/>
    <col min="1118" max="1118" width="11.85546875" bestFit="1" customWidth="1"/>
    <col min="1119" max="1119" width="11.7109375" bestFit="1" customWidth="1"/>
    <col min="1120" max="1120" width="12.85546875" bestFit="1" customWidth="1"/>
    <col min="1121" max="1121" width="12.140625" bestFit="1" customWidth="1"/>
    <col min="1122" max="1122" width="11.42578125" bestFit="1" customWidth="1"/>
    <col min="1123" max="1123" width="11.7109375" bestFit="1" customWidth="1"/>
    <col min="1124" max="1124" width="11.85546875" bestFit="1" customWidth="1"/>
    <col min="1125" max="1125" width="11.140625" bestFit="1" customWidth="1"/>
    <col min="1126" max="1127" width="12.42578125" bestFit="1" customWidth="1"/>
    <col min="1128" max="1128" width="12.28515625" bestFit="1" customWidth="1"/>
    <col min="1129" max="1129" width="12" bestFit="1" customWidth="1"/>
    <col min="1130" max="1130" width="11.5703125" bestFit="1" customWidth="1"/>
    <col min="1131" max="1131" width="12.5703125" bestFit="1" customWidth="1"/>
    <col min="1132" max="1132" width="12.140625" bestFit="1" customWidth="1"/>
    <col min="1133" max="1133" width="11.7109375" bestFit="1" customWidth="1"/>
    <col min="1134" max="1134" width="13.42578125" bestFit="1" customWidth="1"/>
    <col min="1135" max="1135" width="11.7109375" bestFit="1" customWidth="1"/>
    <col min="1136" max="1136" width="11.85546875" bestFit="1" customWidth="1"/>
    <col min="1137" max="1137" width="12.28515625" bestFit="1" customWidth="1"/>
    <col min="1138" max="1138" width="12.85546875" bestFit="1" customWidth="1"/>
    <col min="1139" max="1139" width="12" bestFit="1" customWidth="1"/>
    <col min="1140" max="1140" width="11.7109375" bestFit="1" customWidth="1"/>
    <col min="1141" max="1141" width="10.85546875" bestFit="1" customWidth="1"/>
    <col min="1142" max="1142" width="11.7109375" bestFit="1" customWidth="1"/>
    <col min="1143" max="1143" width="11.5703125" bestFit="1" customWidth="1"/>
    <col min="1144" max="1144" width="11.7109375" bestFit="1" customWidth="1"/>
    <col min="1145" max="1145" width="12.5703125" bestFit="1" customWidth="1"/>
    <col min="1146" max="1146" width="11.28515625" bestFit="1" customWidth="1"/>
    <col min="1147" max="1147" width="12.85546875" bestFit="1" customWidth="1"/>
    <col min="1148" max="1148" width="11.7109375" bestFit="1" customWidth="1"/>
    <col min="1149" max="1149" width="11.28515625" bestFit="1" customWidth="1"/>
    <col min="1150" max="1150" width="12.28515625" bestFit="1" customWidth="1"/>
    <col min="1151" max="1151" width="11.7109375" bestFit="1" customWidth="1"/>
    <col min="1152" max="1152" width="12" bestFit="1" customWidth="1"/>
    <col min="1153" max="1153" width="11.85546875" bestFit="1" customWidth="1"/>
    <col min="1154" max="1155" width="12.42578125" bestFit="1" customWidth="1"/>
    <col min="1156" max="1156" width="13.140625" bestFit="1" customWidth="1"/>
    <col min="1157" max="1157" width="11.42578125" bestFit="1" customWidth="1"/>
    <col min="1158" max="1158" width="12.28515625" bestFit="1" customWidth="1"/>
    <col min="1159" max="1159" width="12.42578125" bestFit="1" customWidth="1"/>
    <col min="1160" max="1160" width="12.140625" bestFit="1" customWidth="1"/>
    <col min="1161" max="1161" width="12" bestFit="1" customWidth="1"/>
    <col min="1162" max="1162" width="11.7109375" bestFit="1" customWidth="1"/>
    <col min="1163" max="1163" width="12.140625" bestFit="1" customWidth="1"/>
    <col min="1164" max="1164" width="11.85546875" bestFit="1" customWidth="1"/>
    <col min="1165" max="1165" width="11.7109375" bestFit="1" customWidth="1"/>
    <col min="1166" max="1166" width="12.5703125" bestFit="1" customWidth="1"/>
    <col min="1167" max="1167" width="11.5703125" bestFit="1" customWidth="1"/>
    <col min="1168" max="1168" width="12.140625" bestFit="1" customWidth="1"/>
    <col min="1169" max="1169" width="12.28515625" bestFit="1" customWidth="1"/>
    <col min="1170" max="1170" width="12.140625" bestFit="1" customWidth="1"/>
    <col min="1171" max="1171" width="12" bestFit="1" customWidth="1"/>
    <col min="1172" max="1172" width="12.28515625" bestFit="1" customWidth="1"/>
    <col min="1173" max="1173" width="12.42578125" bestFit="1" customWidth="1"/>
    <col min="1174" max="1174" width="14.7109375" bestFit="1" customWidth="1"/>
    <col min="1175" max="1175" width="13.42578125" bestFit="1" customWidth="1"/>
    <col min="1176" max="1176" width="14.28515625" bestFit="1" customWidth="1"/>
    <col min="1177" max="1177" width="11.85546875" bestFit="1" customWidth="1"/>
    <col min="1178" max="1178" width="12.42578125" bestFit="1" customWidth="1"/>
    <col min="1179" max="1179" width="12.28515625" bestFit="1" customWidth="1"/>
    <col min="1180" max="1180" width="12" bestFit="1" customWidth="1"/>
    <col min="1181" max="1181" width="12.5703125" bestFit="1" customWidth="1"/>
    <col min="1182" max="1182" width="12.140625" bestFit="1" customWidth="1"/>
    <col min="1183" max="1183" width="11.7109375" bestFit="1" customWidth="1"/>
    <col min="1184" max="1184" width="11.85546875" bestFit="1" customWidth="1"/>
    <col min="1185" max="1185" width="12.5703125" bestFit="1" customWidth="1"/>
    <col min="1186" max="1186" width="11.85546875" bestFit="1" customWidth="1"/>
    <col min="1187" max="1187" width="11.7109375" bestFit="1" customWidth="1"/>
    <col min="1188" max="1188" width="11.85546875" bestFit="1" customWidth="1"/>
    <col min="1189" max="1189" width="11.7109375" bestFit="1" customWidth="1"/>
    <col min="1190" max="1190" width="12.5703125" bestFit="1" customWidth="1"/>
    <col min="1191" max="1192" width="11.28515625" bestFit="1" customWidth="1"/>
    <col min="1193" max="1193" width="11.7109375" bestFit="1" customWidth="1"/>
    <col min="1194" max="1194" width="12.140625" bestFit="1" customWidth="1"/>
    <col min="1195" max="1195" width="13.42578125" bestFit="1" customWidth="1"/>
    <col min="1196" max="1196" width="12" bestFit="1" customWidth="1"/>
    <col min="1197" max="1197" width="11.5703125" bestFit="1" customWidth="1"/>
    <col min="1198" max="1198" width="11.140625" bestFit="1" customWidth="1"/>
    <col min="1199" max="1199" width="13.85546875" bestFit="1" customWidth="1"/>
    <col min="1200" max="1200" width="12.140625" bestFit="1" customWidth="1"/>
    <col min="1201" max="1201" width="12.42578125" bestFit="1" customWidth="1"/>
    <col min="1202" max="1202" width="12.140625" bestFit="1" customWidth="1"/>
    <col min="1203" max="1203" width="12" bestFit="1" customWidth="1"/>
    <col min="1204" max="1204" width="11.5703125" bestFit="1" customWidth="1"/>
    <col min="1205" max="1205" width="12.7109375" bestFit="1" customWidth="1"/>
    <col min="1206" max="1206" width="11.140625" bestFit="1" customWidth="1"/>
    <col min="1207" max="1207" width="11.5703125" bestFit="1" customWidth="1"/>
    <col min="1208" max="1211" width="12" bestFit="1" customWidth="1"/>
    <col min="1212" max="1212" width="12.140625" bestFit="1" customWidth="1"/>
    <col min="1213" max="1213" width="11.5703125" bestFit="1" customWidth="1"/>
    <col min="1214" max="1214" width="12.140625" bestFit="1" customWidth="1"/>
    <col min="1215" max="1215" width="12.42578125" bestFit="1" customWidth="1"/>
    <col min="1216" max="1216" width="12.140625" bestFit="1" customWidth="1"/>
    <col min="1217" max="1217" width="12.28515625" bestFit="1" customWidth="1"/>
    <col min="1218" max="1218" width="11.5703125" bestFit="1" customWidth="1"/>
    <col min="1219" max="1219" width="12.7109375" bestFit="1" customWidth="1"/>
    <col min="1220" max="1220" width="12" bestFit="1" customWidth="1"/>
    <col min="1221" max="1221" width="11.5703125" bestFit="1" customWidth="1"/>
    <col min="1222" max="1222" width="11.42578125" bestFit="1" customWidth="1"/>
    <col min="1223" max="1223" width="12.28515625" bestFit="1" customWidth="1"/>
    <col min="1224" max="1224" width="12" bestFit="1" customWidth="1"/>
    <col min="1225" max="1225" width="12.5703125" bestFit="1" customWidth="1"/>
    <col min="1226" max="1226" width="12" bestFit="1" customWidth="1"/>
    <col min="1227" max="1227" width="11.5703125" bestFit="1" customWidth="1"/>
    <col min="1228" max="1228" width="12.28515625" bestFit="1" customWidth="1"/>
    <col min="1229" max="1229" width="11.85546875" bestFit="1" customWidth="1"/>
    <col min="1230" max="1230" width="12.28515625" bestFit="1" customWidth="1"/>
    <col min="1231" max="1231" width="11.5703125" bestFit="1" customWidth="1"/>
    <col min="1232" max="1233" width="11.7109375" bestFit="1" customWidth="1"/>
    <col min="1234" max="1234" width="11.42578125" bestFit="1" customWidth="1"/>
    <col min="1235" max="1235" width="12" bestFit="1" customWidth="1"/>
    <col min="1236" max="1236" width="10.85546875" bestFit="1" customWidth="1"/>
    <col min="1237" max="1237" width="12.5703125" bestFit="1" customWidth="1"/>
    <col min="1238" max="1238" width="12.28515625" bestFit="1" customWidth="1"/>
    <col min="1239" max="1239" width="12" bestFit="1" customWidth="1"/>
    <col min="1240" max="1241" width="11.5703125" bestFit="1" customWidth="1"/>
    <col min="1242" max="1242" width="13.42578125" bestFit="1" customWidth="1"/>
    <col min="1243" max="1243" width="12" bestFit="1" customWidth="1"/>
    <col min="1244" max="1244" width="11.85546875" bestFit="1" customWidth="1"/>
    <col min="1245" max="1245" width="12.7109375" bestFit="1" customWidth="1"/>
    <col min="1246" max="1246" width="11.85546875" bestFit="1" customWidth="1"/>
    <col min="1247" max="1247" width="13.85546875" bestFit="1" customWidth="1"/>
    <col min="1248" max="1249" width="12" bestFit="1" customWidth="1"/>
    <col min="1250" max="1251" width="11.7109375" bestFit="1" customWidth="1"/>
    <col min="1252" max="1252" width="11.28515625" bestFit="1" customWidth="1"/>
    <col min="1253" max="1253" width="12.42578125" bestFit="1" customWidth="1"/>
    <col min="1254" max="1254" width="13.140625" bestFit="1" customWidth="1"/>
    <col min="1255" max="1255" width="13.42578125" bestFit="1" customWidth="1"/>
    <col min="1256" max="1257" width="12.85546875" bestFit="1" customWidth="1"/>
    <col min="1258" max="1258" width="12" bestFit="1" customWidth="1"/>
    <col min="1259" max="1259" width="11.7109375" bestFit="1" customWidth="1"/>
    <col min="1260" max="1261" width="11.42578125" bestFit="1" customWidth="1"/>
    <col min="1262" max="1262" width="11.7109375" bestFit="1" customWidth="1"/>
    <col min="1263" max="1263" width="12" bestFit="1" customWidth="1"/>
    <col min="1264" max="1264" width="11.5703125" bestFit="1" customWidth="1"/>
    <col min="1265" max="1265" width="12.42578125" bestFit="1" customWidth="1"/>
    <col min="1266" max="1266" width="11.7109375" bestFit="1" customWidth="1"/>
    <col min="1267" max="1267" width="12.140625" bestFit="1" customWidth="1"/>
    <col min="1268" max="1268" width="12.85546875" bestFit="1" customWidth="1"/>
    <col min="1269" max="1269" width="11.85546875" bestFit="1" customWidth="1"/>
    <col min="1270" max="1270" width="12.85546875" bestFit="1" customWidth="1"/>
    <col min="1271" max="1271" width="12.7109375" bestFit="1" customWidth="1"/>
    <col min="1272" max="1272" width="12.140625" bestFit="1" customWidth="1"/>
    <col min="1273" max="1273" width="11.140625" bestFit="1" customWidth="1"/>
    <col min="1274" max="1274" width="12.5703125" bestFit="1" customWidth="1"/>
    <col min="1275" max="1275" width="14.42578125" bestFit="1" customWidth="1"/>
    <col min="1276" max="1277" width="13.28515625" bestFit="1" customWidth="1"/>
    <col min="1278" max="1278" width="12.5703125" bestFit="1" customWidth="1"/>
    <col min="1279" max="1279" width="11.85546875" bestFit="1" customWidth="1"/>
    <col min="1280" max="1280" width="12.28515625" bestFit="1" customWidth="1"/>
    <col min="1281" max="1281" width="12.7109375" bestFit="1" customWidth="1"/>
    <col min="1282" max="1282" width="12.42578125" bestFit="1" customWidth="1"/>
    <col min="1283" max="1283" width="12" bestFit="1" customWidth="1"/>
    <col min="1284" max="1284" width="12.5703125" bestFit="1" customWidth="1"/>
    <col min="1285" max="1285" width="11.5703125" bestFit="1" customWidth="1"/>
    <col min="1286" max="1286" width="12.5703125" bestFit="1" customWidth="1"/>
    <col min="1287" max="1287" width="12" bestFit="1" customWidth="1"/>
    <col min="1288" max="1288" width="12.28515625" bestFit="1" customWidth="1"/>
    <col min="1289" max="1290" width="11.85546875" bestFit="1" customWidth="1"/>
    <col min="1291" max="1291" width="13.140625" bestFit="1" customWidth="1"/>
    <col min="1292" max="1292" width="13.28515625" bestFit="1" customWidth="1"/>
    <col min="1293" max="1293" width="12.5703125" bestFit="1" customWidth="1"/>
    <col min="1294" max="1294" width="12.28515625" bestFit="1" customWidth="1"/>
    <col min="1295" max="1295" width="12.42578125" bestFit="1" customWidth="1"/>
    <col min="1296" max="1296" width="13.42578125" bestFit="1" customWidth="1"/>
    <col min="1297" max="1297" width="14" bestFit="1" customWidth="1"/>
    <col min="1298" max="1298" width="11.7109375" bestFit="1" customWidth="1"/>
    <col min="1299" max="1299" width="11.28515625" bestFit="1" customWidth="1"/>
    <col min="1300" max="1300" width="12.28515625" bestFit="1" customWidth="1"/>
    <col min="1301" max="1301" width="11.7109375" bestFit="1" customWidth="1"/>
    <col min="1302" max="1303" width="12" bestFit="1" customWidth="1"/>
    <col min="1304" max="1304" width="13.140625" bestFit="1" customWidth="1"/>
    <col min="1305" max="1305" width="12.85546875" bestFit="1" customWidth="1"/>
    <col min="1306" max="1306" width="13.5703125" bestFit="1" customWidth="1"/>
    <col min="1307" max="1307" width="13.28515625" bestFit="1" customWidth="1"/>
    <col min="1308" max="1308" width="13.7109375" bestFit="1" customWidth="1"/>
    <col min="1309" max="1309" width="13.140625" bestFit="1" customWidth="1"/>
    <col min="1310" max="1310" width="11.85546875" bestFit="1" customWidth="1"/>
    <col min="1311" max="1311" width="11.5703125" bestFit="1" customWidth="1"/>
    <col min="1312" max="1312" width="12.42578125" bestFit="1" customWidth="1"/>
    <col min="1313" max="1313" width="11.140625" bestFit="1" customWidth="1"/>
    <col min="1314" max="1314" width="12" bestFit="1" customWidth="1"/>
    <col min="1315" max="1315" width="12.7109375" bestFit="1" customWidth="1"/>
    <col min="1316" max="1317" width="11.7109375" bestFit="1" customWidth="1"/>
    <col min="1318" max="1319" width="11.85546875" bestFit="1" customWidth="1"/>
    <col min="1320" max="1321" width="12.5703125" bestFit="1" customWidth="1"/>
    <col min="1322" max="1324" width="13.140625" bestFit="1" customWidth="1"/>
    <col min="1325" max="1325" width="13.28515625" bestFit="1" customWidth="1"/>
    <col min="1326" max="1327" width="13.7109375" bestFit="1" customWidth="1"/>
    <col min="1328" max="1328" width="12.42578125" bestFit="1" customWidth="1"/>
    <col min="1329" max="1329" width="14.140625" bestFit="1" customWidth="1"/>
    <col min="1330" max="1330" width="14.85546875" bestFit="1" customWidth="1"/>
    <col min="1331" max="1331" width="12.28515625" bestFit="1" customWidth="1"/>
    <col min="1332" max="1332" width="12.5703125" bestFit="1" customWidth="1"/>
    <col min="1333" max="1333" width="13.7109375" bestFit="1" customWidth="1"/>
    <col min="1334" max="1334" width="12.7109375" bestFit="1" customWidth="1"/>
    <col min="1335" max="1336" width="12.28515625" bestFit="1" customWidth="1"/>
    <col min="1337" max="1337" width="12.7109375" bestFit="1" customWidth="1"/>
    <col min="1338" max="1338" width="13.140625" bestFit="1" customWidth="1"/>
    <col min="1339" max="1339" width="12.7109375" bestFit="1" customWidth="1"/>
    <col min="1340" max="1340" width="12.85546875" bestFit="1" customWidth="1"/>
    <col min="1341" max="1341" width="12.140625" bestFit="1" customWidth="1"/>
    <col min="1342" max="1342" width="13.42578125" bestFit="1" customWidth="1"/>
    <col min="1343" max="1343" width="11.5703125" bestFit="1" customWidth="1"/>
    <col min="1344" max="1344" width="11.85546875" bestFit="1" customWidth="1"/>
    <col min="1345" max="1345" width="12.140625" bestFit="1" customWidth="1"/>
    <col min="1346" max="1346" width="13.140625" bestFit="1" customWidth="1"/>
    <col min="1347" max="1347" width="12.28515625" bestFit="1" customWidth="1"/>
    <col min="1348" max="1348" width="11.42578125" bestFit="1" customWidth="1"/>
    <col min="1349" max="1349" width="12" bestFit="1" customWidth="1"/>
    <col min="1350" max="1350" width="11.85546875" bestFit="1" customWidth="1"/>
    <col min="1351" max="1351" width="11.28515625" bestFit="1" customWidth="1"/>
  </cols>
  <sheetData>
    <row r="1" spans="1:2" x14ac:dyDescent="0.25">
      <c r="A1" s="2" t="s">
        <v>2</v>
      </c>
      <c r="B1" t="s">
        <v>2906</v>
      </c>
    </row>
    <row r="2" spans="1:2" x14ac:dyDescent="0.25">
      <c r="A2" t="s">
        <v>2697</v>
      </c>
      <c r="B2" s="1">
        <v>490</v>
      </c>
    </row>
    <row r="3" spans="1:2" x14ac:dyDescent="0.25">
      <c r="A3" t="s">
        <v>2750</v>
      </c>
      <c r="B3" s="1">
        <v>448</v>
      </c>
    </row>
    <row r="4" spans="1:2" x14ac:dyDescent="0.25">
      <c r="A4" t="s">
        <v>2694</v>
      </c>
      <c r="B4" s="1">
        <v>373</v>
      </c>
    </row>
    <row r="5" spans="1:2" x14ac:dyDescent="0.25">
      <c r="A5" t="s">
        <v>2748</v>
      </c>
      <c r="B5" s="1">
        <v>31</v>
      </c>
    </row>
    <row r="6" spans="1:2" x14ac:dyDescent="0.25">
      <c r="A6" t="s">
        <v>2745</v>
      </c>
      <c r="B6" s="1">
        <v>2</v>
      </c>
    </row>
    <row r="7" spans="1:2" x14ac:dyDescent="0.25">
      <c r="A7" t="s">
        <v>2798</v>
      </c>
      <c r="B7" s="1">
        <v>2</v>
      </c>
    </row>
    <row r="8" spans="1:2" x14ac:dyDescent="0.25">
      <c r="A8" t="s">
        <v>2872</v>
      </c>
      <c r="B8" s="1">
        <v>1</v>
      </c>
    </row>
    <row r="9" spans="1:2" x14ac:dyDescent="0.25">
      <c r="A9" t="s">
        <v>2818</v>
      </c>
      <c r="B9" s="1">
        <v>1</v>
      </c>
    </row>
    <row r="10" spans="1:2" x14ac:dyDescent="0.25">
      <c r="A10" t="s">
        <v>2885</v>
      </c>
      <c r="B10" s="1">
        <v>1</v>
      </c>
    </row>
    <row r="11" spans="1:2" x14ac:dyDescent="0.25">
      <c r="A11" t="s">
        <v>2692</v>
      </c>
      <c r="B11" s="1">
        <v>1349</v>
      </c>
    </row>
    <row r="16" spans="1:2" x14ac:dyDescent="0.25">
      <c r="A16" t="s">
        <v>2907</v>
      </c>
      <c r="B16" t="s">
        <v>2908</v>
      </c>
    </row>
    <row r="17" spans="1:3" x14ac:dyDescent="0.25">
      <c r="A17" t="str" cm="1">
        <f t="array" ref="A17:A25">_xlfn._xlws.SORT(_xlfn.UNIQUE(amazon[category]))</f>
        <v>Car&amp;Motorbike</v>
      </c>
      <c r="B17" cm="1">
        <f t="array" ref="B17">COUNTA(_xlfn.UNIQUE(_xlfn._xlws.FILTER(amazon[subcategory],amazon[category]=Sheet1!A17)))</f>
        <v>1</v>
      </c>
    </row>
    <row r="18" spans="1:3" x14ac:dyDescent="0.25">
      <c r="A18" t="str">
        <v>Computers&amp;Accessories</v>
      </c>
      <c r="B18" cm="1">
        <f t="array" ref="B18">COUNTA(_xlfn.UNIQUE(_xlfn._xlws.FILTER(amazon[subcategory],amazon[category]=Sheet1!A18)))</f>
        <v>55</v>
      </c>
    </row>
    <row r="19" spans="1:3" x14ac:dyDescent="0.25">
      <c r="A19" t="str">
        <v>Electronics</v>
      </c>
      <c r="B19" cm="1">
        <f t="array" ref="B19">COUNTA(_xlfn.UNIQUE(_xlfn._xlws.FILTER(amazon[subcategory],amazon[category]=Sheet1!A19)))</f>
        <v>61</v>
      </c>
    </row>
    <row r="20" spans="1:3" x14ac:dyDescent="0.25">
      <c r="A20" t="str">
        <v>Health&amp;PersonalCare</v>
      </c>
      <c r="B20" cm="1">
        <f t="array" ref="B20">COUNTA(_xlfn.UNIQUE(_xlfn._xlws.FILTER(amazon[subcategory],amazon[category]=Sheet1!A20)))</f>
        <v>1</v>
      </c>
    </row>
    <row r="21" spans="1:3" x14ac:dyDescent="0.25">
      <c r="A21" t="str">
        <v>Home&amp;Kitchen</v>
      </c>
      <c r="B21" cm="1">
        <f t="array" ref="B21">COUNTA(_xlfn.UNIQUE(_xlfn._xlws.FILTER(amazon[subcategory],amazon[category]=Sheet1!A21)))</f>
        <v>72</v>
      </c>
    </row>
    <row r="22" spans="1:3" x14ac:dyDescent="0.25">
      <c r="A22" t="str">
        <v>HomeImprovement</v>
      </c>
      <c r="B22" cm="1">
        <f t="array" ref="B22">COUNTA(_xlfn.UNIQUE(_xlfn._xlws.FILTER(amazon[subcategory],amazon[category]=Sheet1!A22)))</f>
        <v>2</v>
      </c>
    </row>
    <row r="23" spans="1:3" x14ac:dyDescent="0.25">
      <c r="A23" t="str">
        <v>MusicalInstruments</v>
      </c>
      <c r="B23" cm="1">
        <f t="array" ref="B23">COUNTA(_xlfn.UNIQUE(_xlfn._xlws.FILTER(amazon[subcategory],amazon[category]=Sheet1!A23)))</f>
        <v>1</v>
      </c>
    </row>
    <row r="24" spans="1:3" x14ac:dyDescent="0.25">
      <c r="A24" t="str">
        <v>OfficeProducts</v>
      </c>
      <c r="B24" cm="1">
        <f t="array" ref="B24">COUNTA(_xlfn.UNIQUE(_xlfn._xlws.FILTER(amazon[subcategory],amazon[category]=Sheet1!A24)))</f>
        <v>14</v>
      </c>
    </row>
    <row r="25" spans="1:3" x14ac:dyDescent="0.25">
      <c r="A25" t="str">
        <v>Toys&amp;Games</v>
      </c>
      <c r="B25" cm="1">
        <f t="array" ref="B25">COUNTA(_xlfn.UNIQUE(_xlfn._xlws.FILTER(amazon[subcategory],amazon[category]=Sheet1!A25)))</f>
        <v>1</v>
      </c>
    </row>
    <row r="29" spans="1:3" x14ac:dyDescent="0.25">
      <c r="A29" t="s">
        <v>2909</v>
      </c>
      <c r="B29" t="s">
        <v>2910</v>
      </c>
      <c r="C29" t="s">
        <v>2911</v>
      </c>
    </row>
    <row r="30" spans="1:3" x14ac:dyDescent="0.25">
      <c r="A30" s="5">
        <v>5698.1331504818381</v>
      </c>
      <c r="B30" s="1">
        <v>139900</v>
      </c>
      <c r="C30" s="1">
        <v>39</v>
      </c>
    </row>
    <row r="32" spans="1:3" x14ac:dyDescent="0.25">
      <c r="A32" t="s">
        <v>2912</v>
      </c>
      <c r="B32" t="s">
        <v>2913</v>
      </c>
      <c r="C32" t="s">
        <v>2914</v>
      </c>
    </row>
    <row r="33" spans="1:3" x14ac:dyDescent="0.25">
      <c r="A33" s="4">
        <v>0.46639733135656014</v>
      </c>
      <c r="B33" s="1">
        <v>0.94</v>
      </c>
      <c r="C33" s="1">
        <v>0</v>
      </c>
    </row>
    <row r="35" spans="1:3" x14ac:dyDescent="0.25">
      <c r="A35" s="2" t="s">
        <v>2691</v>
      </c>
      <c r="B35" t="s">
        <v>2909</v>
      </c>
    </row>
    <row r="36" spans="1:3" x14ac:dyDescent="0.25">
      <c r="A36" s="3" t="s">
        <v>2697</v>
      </c>
      <c r="B36" s="5">
        <v>10418.083673469388</v>
      </c>
    </row>
    <row r="37" spans="1:3" x14ac:dyDescent="0.25">
      <c r="A37" s="3" t="s">
        <v>2750</v>
      </c>
      <c r="B37" s="5">
        <v>4162.0736607142853</v>
      </c>
    </row>
    <row r="38" spans="1:3" x14ac:dyDescent="0.25">
      <c r="A38" s="3" t="s">
        <v>2872</v>
      </c>
      <c r="B38" s="5">
        <v>4000</v>
      </c>
    </row>
    <row r="39" spans="1:3" x14ac:dyDescent="0.25">
      <c r="A39" s="3" t="s">
        <v>2885</v>
      </c>
      <c r="B39" s="5">
        <v>1900</v>
      </c>
    </row>
    <row r="40" spans="1:3" x14ac:dyDescent="0.25">
      <c r="A40" s="3" t="s">
        <v>2694</v>
      </c>
      <c r="B40" s="5">
        <v>1862.3501876675607</v>
      </c>
    </row>
    <row r="41" spans="1:3" x14ac:dyDescent="0.25">
      <c r="A41" s="3" t="s">
        <v>2745</v>
      </c>
      <c r="B41" s="5">
        <v>1347</v>
      </c>
    </row>
    <row r="42" spans="1:3" x14ac:dyDescent="0.25">
      <c r="A42" s="3" t="s">
        <v>2798</v>
      </c>
      <c r="B42" s="5">
        <v>799</v>
      </c>
    </row>
    <row r="43" spans="1:3" x14ac:dyDescent="0.25">
      <c r="A43" s="3" t="s">
        <v>2748</v>
      </c>
      <c r="B43" s="5">
        <v>397.19354838709677</v>
      </c>
    </row>
    <row r="44" spans="1:3" x14ac:dyDescent="0.25">
      <c r="A44" s="3" t="s">
        <v>2818</v>
      </c>
      <c r="B44" s="5">
        <v>150</v>
      </c>
    </row>
    <row r="45" spans="1:3" x14ac:dyDescent="0.25">
      <c r="A45" s="3" t="s">
        <v>2692</v>
      </c>
      <c r="B45" s="1">
        <v>5698.1331504818381</v>
      </c>
    </row>
    <row r="48" spans="1:3" x14ac:dyDescent="0.25">
      <c r="A48" s="2" t="s">
        <v>2691</v>
      </c>
      <c r="B48" t="s">
        <v>2915</v>
      </c>
    </row>
    <row r="49" spans="1:3" x14ac:dyDescent="0.25">
      <c r="A49" s="3" t="s">
        <v>2748</v>
      </c>
      <c r="B49" s="5">
        <v>4.3096774193548377</v>
      </c>
    </row>
    <row r="50" spans="1:3" x14ac:dyDescent="0.25">
      <c r="A50" s="3" t="s">
        <v>2818</v>
      </c>
      <c r="B50" s="5">
        <v>4.3</v>
      </c>
    </row>
    <row r="51" spans="1:3" x14ac:dyDescent="0.25">
      <c r="A51" s="3" t="s">
        <v>2798</v>
      </c>
      <c r="B51" s="5">
        <v>4.25</v>
      </c>
    </row>
    <row r="52" spans="1:3" x14ac:dyDescent="0.25">
      <c r="A52" s="3" t="s">
        <v>2694</v>
      </c>
      <c r="B52" s="5">
        <v>4.154691689008037</v>
      </c>
    </row>
    <row r="53" spans="1:3" x14ac:dyDescent="0.25">
      <c r="A53" s="3" t="s">
        <v>2697</v>
      </c>
      <c r="B53" s="5">
        <v>4.077755102040812</v>
      </c>
    </row>
    <row r="54" spans="1:3" x14ac:dyDescent="0.25">
      <c r="A54" s="3" t="s">
        <v>2750</v>
      </c>
      <c r="B54" s="5">
        <v>4.0407158836689021</v>
      </c>
    </row>
    <row r="55" spans="1:3" x14ac:dyDescent="0.25">
      <c r="A55" s="3" t="s">
        <v>2885</v>
      </c>
      <c r="B55" s="5">
        <v>4</v>
      </c>
    </row>
    <row r="56" spans="1:3" x14ac:dyDescent="0.25">
      <c r="A56" s="3" t="s">
        <v>2745</v>
      </c>
      <c r="B56" s="5">
        <v>3.9</v>
      </c>
    </row>
    <row r="57" spans="1:3" x14ac:dyDescent="0.25">
      <c r="A57" s="3" t="s">
        <v>2872</v>
      </c>
      <c r="B57" s="5">
        <v>3.8</v>
      </c>
    </row>
    <row r="58" spans="1:3" x14ac:dyDescent="0.25">
      <c r="A58" s="3" t="s">
        <v>2692</v>
      </c>
      <c r="B58" s="1">
        <v>4.0919881305638004</v>
      </c>
    </row>
    <row r="61" spans="1:3" x14ac:dyDescent="0.25">
      <c r="A61" s="2" t="s">
        <v>2691</v>
      </c>
      <c r="B61" t="s">
        <v>2915</v>
      </c>
      <c r="C61" t="s">
        <v>2916</v>
      </c>
    </row>
    <row r="62" spans="1:3" x14ac:dyDescent="0.25">
      <c r="A62" s="3" t="s">
        <v>2896</v>
      </c>
      <c r="B62" s="1">
        <v>4.5</v>
      </c>
      <c r="C62" s="1">
        <v>2280</v>
      </c>
    </row>
    <row r="63" spans="1:3" x14ac:dyDescent="0.25">
      <c r="A63" s="3" t="s">
        <v>2829</v>
      </c>
      <c r="B63" s="1">
        <v>4.5</v>
      </c>
      <c r="C63" s="1">
        <v>9427</v>
      </c>
    </row>
    <row r="64" spans="1:3" x14ac:dyDescent="0.25">
      <c r="A64" s="3" t="s">
        <v>2827</v>
      </c>
      <c r="B64" s="1">
        <v>4.5</v>
      </c>
      <c r="C64" s="1">
        <v>20668</v>
      </c>
    </row>
    <row r="65" spans="1:3" x14ac:dyDescent="0.25">
      <c r="A65" s="3" t="s">
        <v>2900</v>
      </c>
      <c r="B65" s="1">
        <v>4.5</v>
      </c>
      <c r="C65" s="1">
        <v>1065</v>
      </c>
    </row>
    <row r="66" spans="1:3" x14ac:dyDescent="0.25">
      <c r="A66" s="3" t="s">
        <v>2822</v>
      </c>
      <c r="B66" s="1">
        <v>4.5</v>
      </c>
      <c r="C66" s="1">
        <v>22420</v>
      </c>
    </row>
    <row r="67" spans="1:3" x14ac:dyDescent="0.25">
      <c r="A67" s="3" t="s">
        <v>2828</v>
      </c>
      <c r="B67" s="1">
        <v>4.5</v>
      </c>
      <c r="C67" s="1">
        <v>5985</v>
      </c>
    </row>
    <row r="68" spans="1:3" x14ac:dyDescent="0.25">
      <c r="A68" s="3" t="s">
        <v>2711</v>
      </c>
      <c r="B68" s="1">
        <v>4.5</v>
      </c>
      <c r="C68" s="1">
        <v>224</v>
      </c>
    </row>
    <row r="69" spans="1:3" x14ac:dyDescent="0.25">
      <c r="A69" s="3" t="s">
        <v>2775</v>
      </c>
      <c r="B69" s="1">
        <v>4.5</v>
      </c>
      <c r="C69" s="1">
        <v>4875</v>
      </c>
    </row>
    <row r="70" spans="1:3" x14ac:dyDescent="0.25">
      <c r="A70" s="3" t="s">
        <v>2780</v>
      </c>
      <c r="B70" s="1">
        <v>4.5</v>
      </c>
      <c r="C70" s="1">
        <v>8610</v>
      </c>
    </row>
    <row r="71" spans="1:3" x14ac:dyDescent="0.25">
      <c r="A71" s="3" t="s">
        <v>2790</v>
      </c>
      <c r="B71" s="1">
        <v>4.5</v>
      </c>
      <c r="C71" s="1">
        <v>26194</v>
      </c>
    </row>
    <row r="72" spans="1:3" x14ac:dyDescent="0.25">
      <c r="A72" s="3" t="s">
        <v>2692</v>
      </c>
      <c r="B72" s="1">
        <v>4.5</v>
      </c>
      <c r="C72" s="1">
        <v>10174.799999999999</v>
      </c>
    </row>
    <row r="75" spans="1:3" x14ac:dyDescent="0.25">
      <c r="A75" s="2" t="s">
        <v>2691</v>
      </c>
      <c r="B75" t="s">
        <v>2915</v>
      </c>
      <c r="C75" t="s">
        <v>2916</v>
      </c>
    </row>
    <row r="76" spans="1:3" x14ac:dyDescent="0.25">
      <c r="A76" s="3" t="s">
        <v>1392</v>
      </c>
      <c r="B76" s="1">
        <v>5</v>
      </c>
      <c r="C76" s="1">
        <v>23</v>
      </c>
    </row>
    <row r="77" spans="1:3" x14ac:dyDescent="0.25">
      <c r="A77" s="3" t="s">
        <v>356</v>
      </c>
      <c r="B77" s="1">
        <v>5</v>
      </c>
      <c r="C77" s="1">
        <v>5</v>
      </c>
    </row>
    <row r="78" spans="1:3" x14ac:dyDescent="0.25">
      <c r="A78" s="3" t="s">
        <v>2052</v>
      </c>
      <c r="B78" s="1">
        <v>4.8</v>
      </c>
      <c r="C78" s="1">
        <v>53803</v>
      </c>
    </row>
    <row r="79" spans="1:3" x14ac:dyDescent="0.25">
      <c r="A79" s="3" t="s">
        <v>2360</v>
      </c>
      <c r="B79" s="1">
        <v>4.8</v>
      </c>
      <c r="C79" s="1">
        <v>3964</v>
      </c>
    </row>
    <row r="80" spans="1:3" x14ac:dyDescent="0.25">
      <c r="A80" s="3" t="s">
        <v>2164</v>
      </c>
      <c r="B80" s="1">
        <v>4.8</v>
      </c>
      <c r="C80" s="1">
        <v>28</v>
      </c>
    </row>
    <row r="81" spans="1:3" x14ac:dyDescent="0.25">
      <c r="A81" s="3" t="s">
        <v>2538</v>
      </c>
      <c r="B81" s="1">
        <v>4.7</v>
      </c>
      <c r="C81" s="1">
        <v>2591</v>
      </c>
    </row>
    <row r="82" spans="1:3" x14ac:dyDescent="0.25">
      <c r="A82" s="3" t="s">
        <v>2214</v>
      </c>
      <c r="B82" s="1">
        <v>4.7</v>
      </c>
      <c r="C82" s="1">
        <v>54</v>
      </c>
    </row>
    <row r="83" spans="1:3" x14ac:dyDescent="0.25">
      <c r="A83" s="3" t="s">
        <v>2312</v>
      </c>
      <c r="B83" s="1">
        <v>4.7</v>
      </c>
      <c r="C83" s="1">
        <v>2300</v>
      </c>
    </row>
    <row r="84" spans="1:3" x14ac:dyDescent="0.25">
      <c r="A84" s="3" t="s">
        <v>506</v>
      </c>
      <c r="B84" s="1">
        <v>4.7</v>
      </c>
      <c r="C84" s="1">
        <v>5935</v>
      </c>
    </row>
    <row r="85" spans="1:3" x14ac:dyDescent="0.25">
      <c r="A85" s="3" t="s">
        <v>2208</v>
      </c>
      <c r="B85" s="1">
        <v>4.7</v>
      </c>
      <c r="C85" s="1">
        <v>1729</v>
      </c>
    </row>
    <row r="86" spans="1:3" x14ac:dyDescent="0.25">
      <c r="A86" s="3" t="s">
        <v>887</v>
      </c>
      <c r="B86" s="1">
        <v>4.7</v>
      </c>
      <c r="C86" s="1">
        <v>7779</v>
      </c>
    </row>
    <row r="87" spans="1:3" x14ac:dyDescent="0.25">
      <c r="A87" s="3" t="s">
        <v>2692</v>
      </c>
      <c r="B87" s="1">
        <v>4.7818181818181822</v>
      </c>
      <c r="C87" s="1">
        <v>7110.090909090909</v>
      </c>
    </row>
  </sheetData>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595E0A-259E-415A-9E96-8D923E626F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amazon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karol</dc:creator>
  <cp:lastModifiedBy>karol</cp:lastModifiedBy>
  <dcterms:created xsi:type="dcterms:W3CDTF">2015-06-05T18:17:20Z</dcterms:created>
  <dcterms:modified xsi:type="dcterms:W3CDTF">2026-01-15T14:20:24Z</dcterms:modified>
</cp:coreProperties>
</file>